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 Generator" sheetId="1" r:id="rId1"/>
    <sheet name="Lists" sheetId="2" state="hidden" r:id="rId2"/>
    <sheet name="Notes" sheetId="3" r:id="rId3"/>
  </sheets>
  <definedNames>
    <definedName name="ControllerTypes">Lists!$D$1:$D$2</definedName>
    <definedName name="Disciplines">Lists!$A$1:$A$5</definedName>
    <definedName name="DragToggle">Lists!$F$1:$F$2</definedName>
    <definedName name="DriveStyles">Lists!$E$1:$E$3</definedName>
    <definedName name="Drivetrains">Lists!$B$1:$B$3</definedName>
    <definedName name="TelemetryIssues">Lists!$G$1:$G$6</definedName>
    <definedName name="TireTypes">Lists!$C$1:$C$5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R3" authorId="0">
      <text>
        <r>
          <rPr>
            <sz val="8"/>
            <color indexed="81"/>
            <rFont val="Tahoma"/>
            <family val="2"/>
          </rPr>
          <t>Baseline pressures shift with weight, tire type, and discipline. Slicks can run ~1 psi lower.</t>
        </r>
      </text>
    </comment>
    <comment ref="T3" authorId="0">
      <text>
        <r>
          <rPr>
            <sz val="8"/>
            <color indexed="81"/>
            <rFont val="Tahoma"/>
            <family val="2"/>
          </rPr>
          <t>More negative camber increases cornering grip but reduces braking/straight-line stability.</t>
        </r>
      </text>
    </comment>
    <comment ref="Y3" authorId="0">
      <text>
        <r>
          <rPr>
            <sz val="8"/>
            <color indexed="81"/>
            <rFont val="Tahoma"/>
            <family val="2"/>
          </rPr>
          <t>Higher front ARB resists roll but can add entry understeer; rear ARB adds rotation.</t>
        </r>
      </text>
    </comment>
    <comment ref="AA3" authorId="0">
      <text>
        <r>
          <rPr>
            <sz val="8"/>
            <color indexed="81"/>
            <rFont val="Tahoma"/>
            <family val="2"/>
          </rPr>
          <t>Heuristic: (axle weight in lb)/10, with ±50 for track vs. off-road.</t>
        </r>
      </text>
    </comment>
    <comment ref="AE3" authorId="0">
      <text>
        <r>
          <rPr>
            <sz val="8"/>
            <color indexed="81"/>
            <rFont val="Tahoma"/>
            <family val="2"/>
          </rPr>
          <t>Start rebound ~1.6x bump. Lower rebound = more compliance; higher = sharper transitions.</t>
        </r>
      </text>
    </comment>
    <comment ref="AI3" authorId="0">
      <text>
        <r>
          <rPr>
            <sz val="8"/>
            <color indexed="81"/>
            <rFont val="Tahoma"/>
            <family val="2"/>
          </rPr>
          <t>More front bias = stability; more rear = rotation under braking.</t>
        </r>
      </text>
    </comment>
    <comment ref="AM3" authorId="0">
      <text>
        <r>
          <rPr>
            <sz val="8"/>
            <color indexed="81"/>
            <rFont val="Tahoma"/>
            <family val="2"/>
          </rPr>
          <t>Higher accel lock puts power down but can cause power-on understeer/oversteer depending on drivetrain.</t>
        </r>
      </text>
    </comment>
    <comment ref="AX3" authorId="0">
      <text>
        <r>
          <rPr>
            <sz val="8"/>
            <color indexed="81"/>
            <rFont val="Tahoma"/>
            <family val="2"/>
          </rPr>
          <t>From mph = RPM*Dia / (GR*FD*336). Solve for GR. Diameter in inches.</t>
        </r>
      </text>
    </comment>
    <comment ref="AY3" authorId="0">
      <text>
        <r>
          <rPr>
            <sz val="8"/>
            <color indexed="81"/>
            <rFont val="Tahoma"/>
            <family val="2"/>
          </rPr>
          <t>FD to hit target v-max at redline in the top gear. Adjust to kiss redline at your fastest straight.</t>
        </r>
      </text>
    </comment>
  </commentList>
</comments>
</file>

<file path=xl/sharedStrings.xml><?xml version="1.0" encoding="utf-8"?>
<sst xmlns="http://schemas.openxmlformats.org/spreadsheetml/2006/main" count="88" uniqueCount="82">
  <si>
    <t>Car</t>
  </si>
  <si>
    <t>Discipline</t>
  </si>
  <si>
    <t>ControllerType</t>
  </si>
  <si>
    <t>DriveStyle</t>
  </si>
  <si>
    <t>DragPack</t>
  </si>
  <si>
    <t>Power_hp</t>
  </si>
  <si>
    <t>Torque_lbft</t>
  </si>
  <si>
    <t>Weight_kg</t>
  </si>
  <si>
    <t>FrontWeight_pct</t>
  </si>
  <si>
    <t>Drivetrain</t>
  </si>
  <si>
    <t>TireType</t>
  </si>
  <si>
    <t>FrontTireWidth_mm</t>
  </si>
  <si>
    <t>RearTireWidth_mm</t>
  </si>
  <si>
    <t>TireDiameter_in</t>
  </si>
  <si>
    <t>TargetTopSpeed_mph</t>
  </si>
  <si>
    <t>Redline_rpm</t>
  </si>
  <si>
    <t>PeakPower_rpm</t>
  </si>
  <si>
    <t>TirePressure_F_PSI</t>
  </si>
  <si>
    <t>TirePressure_R_PSI</t>
  </si>
  <si>
    <t>Camber_F_deg</t>
  </si>
  <si>
    <t>Camber_R_deg</t>
  </si>
  <si>
    <t>Toe_F_deg</t>
  </si>
  <si>
    <t>Toe_R_deg</t>
  </si>
  <si>
    <t>Caster_deg</t>
  </si>
  <si>
    <t>ARB_F</t>
  </si>
  <si>
    <t>ARB_R</t>
  </si>
  <si>
    <t>Springs_F_lb_in</t>
  </si>
  <si>
    <t>Springs_R_lb_in</t>
  </si>
  <si>
    <t>RideHeight_F</t>
  </si>
  <si>
    <t>RideHeight_R</t>
  </si>
  <si>
    <t>Rebound_F</t>
  </si>
  <si>
    <t>Rebound_R</t>
  </si>
  <si>
    <t>Bump_F</t>
  </si>
  <si>
    <t>Bump_R</t>
  </si>
  <si>
    <t>BrakeBalance_F_pct</t>
  </si>
  <si>
    <t>BrakePressure_pct</t>
  </si>
  <si>
    <t>Diff_Front_Accel_pct</t>
  </si>
  <si>
    <t>Diff_Front_Decel_pct</t>
  </si>
  <si>
    <t>Diff_Rear_Accel_pct</t>
  </si>
  <si>
    <t>Diff_Rear_Decel_pct</t>
  </si>
  <si>
    <t>Diff_Center_Balance_pct</t>
  </si>
  <si>
    <t>First_Gear</t>
  </si>
  <si>
    <t>Second_Gear</t>
  </si>
  <si>
    <t>Third_Gear</t>
  </si>
  <si>
    <t>Fourth_Gear</t>
  </si>
  <si>
    <t>Fifth_Gear</t>
  </si>
  <si>
    <t>Sixth_Gear</t>
  </si>
  <si>
    <t>Seventh_Gear</t>
  </si>
  <si>
    <t>Eighth_Gear</t>
  </si>
  <si>
    <t>TopGear_Ratio_Calc</t>
  </si>
  <si>
    <t>Suggested_Final_Drive</t>
  </si>
  <si>
    <t>Telemetry_Issue</t>
  </si>
  <si>
    <t>Telemetry_Advice</t>
  </si>
  <si>
    <t>2020 Corvette Stingray (C8)</t>
  </si>
  <si>
    <t>Circuit/Grip</t>
  </si>
  <si>
    <t>Controller</t>
  </si>
  <si>
    <t>Aggressive</t>
  </si>
  <si>
    <t>Off</t>
  </si>
  <si>
    <t>RWD</t>
  </si>
  <si>
    <t>Slick/Semi-slick</t>
  </si>
  <si>
    <t>Forza Horizon 5 — Pro Tune Generator (inputs left in gray; outputs compute automatically)</t>
  </si>
  <si>
    <t>Physics-based gearing, controller/wheel biasing, drive-style tempering, drag pack toggle, telemetry-driven advice.</t>
  </si>
  <si>
    <t>Drag</t>
  </si>
  <si>
    <t>Top Speed</t>
  </si>
  <si>
    <t>Drift</t>
  </si>
  <si>
    <t>Rally/Off-road</t>
  </si>
  <si>
    <t>AWD</t>
  </si>
  <si>
    <t>FWD</t>
  </si>
  <si>
    <t>Stock/Street</t>
  </si>
  <si>
    <t>Sport</t>
  </si>
  <si>
    <t>Race</t>
  </si>
  <si>
    <t>Off-road</t>
  </si>
  <si>
    <t>Wheel</t>
  </si>
  <si>
    <t>Conservative</t>
  </si>
  <si>
    <t>Normal</t>
  </si>
  <si>
    <t>On</t>
  </si>
  <si>
    <t>Entry Understeer</t>
  </si>
  <si>
    <t>Mid Understeer</t>
  </si>
  <si>
    <t>Exit Oversteer</t>
  </si>
  <si>
    <t>Wheelspin</t>
  </si>
  <si>
    <t>Braking Instability</t>
  </si>
  <si>
    <t xml:space="preserve">How this PRO sheet works
Inputs:
- ControllerType biases brake pressure and diff decel for trail braking (Wheel = -5% pressure, +2 decel).
- DriveStyle adjusts wheelspin handling (Aggressive relaxes rear damping &amp; diff accel, lengthens 1st/2nd).
- DragPack (On) tweaks launch: more rear/center lock, softer rear bump, longer 1st, higher brake pressure.
- TireDiameter_in enables physics-based top gear and final drive math (mph = RPM*Dia / (GR*FD*336)).
Gearing:
- 'Eighth_Gear' is a discipline target (0.90 top speed, else 1.00). The sheet computes a Suggested_Final_Drive to hit your v-max at redline.
- If you have fewer gears, ignore extras. If more, continue geometric stepping with the same factor.
Telemetry workflow:
1) Do a couple hot laps or a few 1/4-mile runs (Drag).
2) Select your biggest issue in 'Telemetry_Issue'.
3) Apply the advice exactly; then adjust by 1–2 clicks as needed.
Reality check:
- This is a universal baseline generator, not a lap-time oracle. It’s designed to be consistent, predictable, and fast.
- Two or three small iterations after baseline usually beat most ‘meta’ copy-paste tunes for your own driving.
Tip:
- Use lower tire pressures for cold temps or heavy cars; add 1–2 psi for heat or long straights.
- For AWD circuit cars, moving Center Balance from 60 → 55 can add rotation without destabilizing braking.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</si>
</sst>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EEEE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53" width="22.7109375" customWidth="1"/>
  </cols>
  <sheetData>
    <row r="1" spans="1:53">
      <c r="A1" t="s">
        <v>60</v>
      </c>
    </row>
    <row r="2" spans="1:53">
      <c r="A2" t="s">
        <v>61</v>
      </c>
    </row>
    <row r="3" spans="1:53" s="1" customFormat="1" ht="18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  <c r="AP3" s="2" t="s">
        <v>41</v>
      </c>
      <c r="AQ3" s="2" t="s">
        <v>42</v>
      </c>
      <c r="AR3" s="2" t="s">
        <v>43</v>
      </c>
      <c r="AS3" s="2" t="s">
        <v>44</v>
      </c>
      <c r="AT3" s="2" t="s">
        <v>45</v>
      </c>
      <c r="AU3" s="2" t="s">
        <v>46</v>
      </c>
      <c r="AV3" s="2" t="s">
        <v>47</v>
      </c>
      <c r="AW3" s="2" t="s">
        <v>48</v>
      </c>
      <c r="AX3" s="2" t="s">
        <v>49</v>
      </c>
      <c r="AY3" s="2" t="s">
        <v>50</v>
      </c>
      <c r="AZ3" s="2" t="s">
        <v>51</v>
      </c>
      <c r="BA3" s="2" t="s">
        <v>52</v>
      </c>
    </row>
    <row r="4" spans="1:53">
      <c r="A4" t="s">
        <v>53</v>
      </c>
      <c r="B4" t="s">
        <v>54</v>
      </c>
      <c r="C4" t="s">
        <v>55</v>
      </c>
      <c r="D4" t="s">
        <v>56</v>
      </c>
      <c r="E4" t="s">
        <v>57</v>
      </c>
      <c r="F4">
        <v>495</v>
      </c>
      <c r="G4">
        <v>470</v>
      </c>
      <c r="H4">
        <v>1530</v>
      </c>
      <c r="I4">
        <v>40</v>
      </c>
      <c r="J4" t="s">
        <v>58</v>
      </c>
      <c r="K4" t="s">
        <v>59</v>
      </c>
      <c r="L4">
        <v>285</v>
      </c>
      <c r="M4">
        <v>315</v>
      </c>
      <c r="N4">
        <v>27</v>
      </c>
      <c r="O4">
        <v>190</v>
      </c>
      <c r="P4">
        <v>7400</v>
      </c>
      <c r="Q4">
        <v>6200</v>
      </c>
      <c r="R4">
        <f>ROUND( IF(B4="Drag",32,IF(B4="Top Speed",33,29))+IF(H4&gt;1700,1,0)+IF(K4="Slick/Semi-slick",-1,0)+(IF(D4="Aggressive",1,0)*0.5),0)</f>
        <v>0</v>
      </c>
      <c r="S4">
        <f>ROUND(R4+IF(J4="RWD",1,0)+IF(I4&lt;45,0.5,0)+IF(B4="Drag",1,0)+(IF(D4="Aggressive",1,0)*0.5),0)</f>
        <v>0</v>
      </c>
      <c r="T4">
        <f>ROUND(-0.9-IF(B4="Circuit/Grip",0.4,0)+IF(K4="Slick/Semi-slick",-0.2,0),2)</f>
        <v>0</v>
      </c>
      <c r="U4">
        <f>ROUND(-0.4-IF(J4="RWD",0.3,0)+IF(B4="Drag",0.3,0),2)</f>
        <v>0</v>
      </c>
      <c r="V4">
        <f>ROUND(IF(B4="Circuit/Grip",0,IF(B4="Drift",0.10,0)),2)</f>
        <v>0</v>
      </c>
      <c r="W4">
        <f>ROUND(IF(B4="Drift",0.10,0),2)</f>
        <v>0</v>
      </c>
      <c r="X4">
        <f>ROUND(IF(B4="Circuit/Grip",6.0,IF(B4="Top Speed",7.0,IF(B4="Drag",4.0,5.0))),1)</f>
        <v>0</v>
      </c>
      <c r="Y4">
        <f>ROUND((H4/1000)*25+IF(I4&gt;55,5,0)+IF(B4="Drift",-5,0),0)</f>
        <v>0</v>
      </c>
      <c r="Z4">
        <f>ROUND((H4/1000)*22+IF(I4&lt;45,5,0)+IF(B4="Circuit/Grip",3,0)+IF(B4="Drift",5,0),0)</f>
        <v>0</v>
      </c>
      <c r="AA4">
        <f>ROUND(((H4*2.20462)*(I4/100))/10+IF(B4="Rally/Off-road",-50,50)+(IF(D4="Aggressive",1,0)*-10)+(IF(D4="Conservative",1,0)*10),0)</f>
        <v>0</v>
      </c>
      <c r="AB4">
        <f>ROUND(((H4*2.20462)*(1-(I4/100)))/10+IF(B4="Rally/Off-road",-50,50)+(IF(D4="Aggressive",1,0)*-15)+(IF(D4="Conservative",1,0)*10),0)</f>
        <v>0</v>
      </c>
      <c r="AC4">
        <f>ROUND(IF(B4="Rally/Off-road",0.8,0.2),2)</f>
        <v>0</v>
      </c>
      <c r="AD4">
        <f>ROUND(IF(B4="Rally/Off-road",0.85,0.25),2)</f>
        <v>0</v>
      </c>
      <c r="AE4">
        <f>ROUND(7 + (IF(D4="Aggressive",1,0)*-0.5) + (IF(E4="On",1,0)*0.2),1)</f>
        <v>0</v>
      </c>
      <c r="AF4">
        <f>ROUND(7.5 + (IF(D4="Aggressive",1,0)*-0.8) + (IF(E4="On",1,0)*-0.3),1)</f>
        <v>0</v>
      </c>
      <c r="AG4">
        <f>ROUND(AE4/1.6 + (IF(E4="On",1,0)*0.2),1)</f>
        <v>0</v>
      </c>
      <c r="AH4">
        <f>ROUND(AF4/1.6 + (IF(E4="On",1,0)*-0.4),1)</f>
        <v>0</v>
      </c>
      <c r="AI4">
        <f>ROUND( 60 + IF(I4&gt;55,5,0) - IF(J4="RWD",2,0),0)</f>
        <v>0</v>
      </c>
      <c r="AJ4">
        <f>ROUND( IF(B4="Drag",120,IF(B4="Top Speed",110,100))+(IF(C4="Wheel",1,0)*-5) + (IF(D4="Conservative",1,0)*5),0)</f>
        <v>0</v>
      </c>
      <c r="AK4">
        <f>IF(J4="AWD",ROUND(15 + (IF(D4="Aggressive",1,0)*-3) + (IF(E4="On",1,0)*2),0),IF(J4="FWD",ROUND(80 + (IF(D4="Aggressive",1,0)*-5) + (IF(E4="On",1,0)*5),0),""))</f>
        <v>0</v>
      </c>
      <c r="AL4">
        <f>IF(J4="AWD",ROUND(10 + (IF(C4="Wheel",1,0)*2),0),IF(J4="FWD",ROUND(15 + (IF(C4="Wheel",1,0)*2),0),""))</f>
        <v>0</v>
      </c>
      <c r="AM4">
        <f>IF(J4="RWD",ROUND(80 + (IF(D4="Aggressive",1,0)*-6) + (IF(E4="On",1,0)*8),0),IF(J4="AWD",ROUND(75 + (IF(D4="Aggressive",1,0)*-4) + (IF(E4="On",1,0)*6),0),""))</f>
        <v>0</v>
      </c>
      <c r="AN4">
        <f>IF(J4="RWD",ROUND(20 + (IF(C4="Wheel",1,0)*2),0),IF(J4="AWD",20,IF(J4="FWD",10,"")))</f>
        <v>0</v>
      </c>
      <c r="AO4">
        <f>IF(J4="AWD",ROUND(60 + (IF(E4="On",1,0)*5),0),"")</f>
        <v>0</v>
      </c>
      <c r="AP4">
        <f>ROUND( IF(B4="Drag",3.20,IF(J4="RWD",2.80,IF(J4="AWD",2.60,3.00)))+(IF(D4="Aggressive",1,0)*0.15)+(IF(E4="On",1,0)*0.25) ,2)</f>
        <v>0</v>
      </c>
      <c r="AQ4">
        <f>ROUND(AP4 * POWER(AW4/AP4,1/7),2)</f>
        <v>0</v>
      </c>
      <c r="AR4">
        <f>ROUND(AQ4 * POWER(AW4/AP4,1/7),2)</f>
        <v>0</v>
      </c>
      <c r="AS4">
        <f>ROUND(AR4 * POWER(AW4/AP4,1/7),2)</f>
        <v>0</v>
      </c>
      <c r="AT4">
        <f>ROUND(AS4 * POWER(AW4/AP4,1/7),2)</f>
        <v>0</v>
      </c>
      <c r="AU4">
        <f>ROUND(AT4 * POWER(AW4/AP4,1/7),2)</f>
        <v>0</v>
      </c>
      <c r="AV4">
        <f>ROUND(AU4 * POWER(AW4/AP4,1/7),2)</f>
        <v>0</v>
      </c>
      <c r="AW4">
        <f>ROUND(IF(B4="Top Speed",0.90,1.00),2)</f>
        <v>0</v>
      </c>
      <c r="AX4">
        <f>ROUND( (P4*N4) / (O4 * 3.20 * 336) ,2)</f>
        <v>0</v>
      </c>
      <c r="AY4">
        <f>ROUND( (P4*N4) / (O4 * AW4 * 336) ,2)</f>
        <v>0</v>
      </c>
      <c r="BA4">
        <f>IF(AZ4="Entry Understeer","Softer ARB_F by 1–2; more -Camber_F (-0.1°); +2% BrakeBalance_F; lower Front Rebound 0.2.",IF(AZ4="Mid Understeer","Add -Camber_F (-0.2°), raise Rear ARB 1–2, +Rear Aero 5%.",IF(AZ4="Exit Oversteer","Lower Diff_Rear_Accel -5, soften Springs_R -20, raise Rear Rebound +0.2, add +0.02 Toe_R in.",IF(AZ4="Wheelspin","Lengthen 1st/2nd +0.05, reduce RWD Accel -5 (AWD: -3F/+3R), lower Rear Rebound -0.2.",IF(AZ4="Braking Instability","Shift BrakeBalance +3% front, add +0.02 Toe_R in, raise Front Rebound +0.2, add Rear Aero 5%.",""))))</f>
        <v>0</v>
      </c>
    </row>
  </sheetData>
  <conditionalFormatting sqref="A4:A601">
    <cfRule type="notContainsBlanks" dxfId="0" priority="1">
      <formula>LEN(TRIM(A4))&gt;0</formula>
    </cfRule>
    <cfRule type="containsBlanks" dxfId="0" priority="2">
      <formula>LEN(TRIM(A4))=0</formula>
    </cfRule>
  </conditionalFormatting>
  <conditionalFormatting sqref="B4:B601">
    <cfRule type="notContainsBlanks" dxfId="0" priority="3">
      <formula>LEN(TRIM(B4))&gt;0</formula>
    </cfRule>
    <cfRule type="containsBlanks" dxfId="0" priority="4">
      <formula>LEN(TRIM(B4))=0</formula>
    </cfRule>
  </conditionalFormatting>
  <conditionalFormatting sqref="C4:C601">
    <cfRule type="notContainsBlanks" dxfId="0" priority="5">
      <formula>LEN(TRIM(C4))&gt;0</formula>
    </cfRule>
    <cfRule type="containsBlanks" dxfId="0" priority="6">
      <formula>LEN(TRIM(C4))=0</formula>
    </cfRule>
  </conditionalFormatting>
  <conditionalFormatting sqref="D4:D601">
    <cfRule type="notContainsBlanks" dxfId="0" priority="7">
      <formula>LEN(TRIM(D4))&gt;0</formula>
    </cfRule>
    <cfRule type="containsBlanks" dxfId="0" priority="8">
      <formula>LEN(TRIM(D4))=0</formula>
    </cfRule>
  </conditionalFormatting>
  <conditionalFormatting sqref="E4:E601">
    <cfRule type="notContainsBlanks" dxfId="0" priority="9">
      <formula>LEN(TRIM(E4))&gt;0</formula>
    </cfRule>
    <cfRule type="containsBlanks" dxfId="0" priority="10">
      <formula>LEN(TRIM(E4))=0</formula>
    </cfRule>
  </conditionalFormatting>
  <conditionalFormatting sqref="F4:F601">
    <cfRule type="notContainsBlanks" dxfId="0" priority="11">
      <formula>LEN(TRIM(F4))&gt;0</formula>
    </cfRule>
    <cfRule type="containsBlanks" dxfId="0" priority="12">
      <formula>LEN(TRIM(F4))=0</formula>
    </cfRule>
  </conditionalFormatting>
  <conditionalFormatting sqref="G4:G601">
    <cfRule type="notContainsBlanks" dxfId="0" priority="13">
      <formula>LEN(TRIM(G4))&gt;0</formula>
    </cfRule>
    <cfRule type="containsBlanks" dxfId="0" priority="14">
      <formula>LEN(TRIM(G4))=0</formula>
    </cfRule>
  </conditionalFormatting>
  <conditionalFormatting sqref="H4:H601">
    <cfRule type="notContainsBlanks" dxfId="0" priority="15">
      <formula>LEN(TRIM(H4))&gt;0</formula>
    </cfRule>
    <cfRule type="containsBlanks" dxfId="0" priority="16">
      <formula>LEN(TRIM(H4))=0</formula>
    </cfRule>
  </conditionalFormatting>
  <conditionalFormatting sqref="I4:I601">
    <cfRule type="notContainsBlanks" dxfId="0" priority="17">
      <formula>LEN(TRIM(I4))&gt;0</formula>
    </cfRule>
    <cfRule type="containsBlanks" dxfId="0" priority="18">
      <formula>LEN(TRIM(I4))=0</formula>
    </cfRule>
  </conditionalFormatting>
  <conditionalFormatting sqref="J4:J601">
    <cfRule type="notContainsBlanks" dxfId="0" priority="19">
      <formula>LEN(TRIM(J4))&gt;0</formula>
    </cfRule>
    <cfRule type="containsBlanks" dxfId="0" priority="20">
      <formula>LEN(TRIM(J4))=0</formula>
    </cfRule>
  </conditionalFormatting>
  <conditionalFormatting sqref="K4:K601">
    <cfRule type="notContainsBlanks" dxfId="0" priority="21">
      <formula>LEN(TRIM(K4))&gt;0</formula>
    </cfRule>
    <cfRule type="containsBlanks" dxfId="0" priority="22">
      <formula>LEN(TRIM(K4))=0</formula>
    </cfRule>
  </conditionalFormatting>
  <conditionalFormatting sqref="L4:L601">
    <cfRule type="notContainsBlanks" dxfId="0" priority="23">
      <formula>LEN(TRIM(L4))&gt;0</formula>
    </cfRule>
    <cfRule type="containsBlanks" dxfId="0" priority="24">
      <formula>LEN(TRIM(L4))=0</formula>
    </cfRule>
  </conditionalFormatting>
  <conditionalFormatting sqref="M4:M601">
    <cfRule type="notContainsBlanks" dxfId="0" priority="25">
      <formula>LEN(TRIM(M4))&gt;0</formula>
    </cfRule>
    <cfRule type="containsBlanks" dxfId="0" priority="26">
      <formula>LEN(TRIM(M4))=0</formula>
    </cfRule>
  </conditionalFormatting>
  <conditionalFormatting sqref="N4:N601">
    <cfRule type="notContainsBlanks" dxfId="0" priority="27">
      <formula>LEN(TRIM(N4))&gt;0</formula>
    </cfRule>
    <cfRule type="containsBlanks" dxfId="0" priority="28">
      <formula>LEN(TRIM(N4))=0</formula>
    </cfRule>
  </conditionalFormatting>
  <conditionalFormatting sqref="O4:O601">
    <cfRule type="notContainsBlanks" dxfId="0" priority="29">
      <formula>LEN(TRIM(O4))&gt;0</formula>
    </cfRule>
    <cfRule type="containsBlanks" dxfId="0" priority="30">
      <formula>LEN(TRIM(O4))=0</formula>
    </cfRule>
  </conditionalFormatting>
  <conditionalFormatting sqref="P4:P601">
    <cfRule type="notContainsBlanks" dxfId="0" priority="31">
      <formula>LEN(TRIM(P4))&gt;0</formula>
    </cfRule>
    <cfRule type="containsBlanks" dxfId="0" priority="32">
      <formula>LEN(TRIM(P4))=0</formula>
    </cfRule>
  </conditionalFormatting>
  <conditionalFormatting sqref="Q4:Q601">
    <cfRule type="notContainsBlanks" dxfId="0" priority="33">
      <formula>LEN(TRIM(Q4))&gt;0</formula>
    </cfRule>
    <cfRule type="containsBlanks" dxfId="0" priority="34">
      <formula>LEN(TRIM(Q4))=0</formula>
    </cfRule>
  </conditionalFormatting>
  <dataValidations count="2100">
    <dataValidation type="list" allowBlank="1" showInputMessage="1" showErrorMessage="1" sqref="B4">
      <formula1>Disciplines</formula1>
    </dataValidation>
    <dataValidation type="list" allowBlank="1" showInputMessage="1" showErrorMessage="1" sqref="B5">
      <formula1>Disciplines</formula1>
    </dataValidation>
    <dataValidation type="list" allowBlank="1" showInputMessage="1" showErrorMessage="1" sqref="B6">
      <formula1>Disciplines</formula1>
    </dataValidation>
    <dataValidation type="list" allowBlank="1" showInputMessage="1" showErrorMessage="1" sqref="B7">
      <formula1>Disciplines</formula1>
    </dataValidation>
    <dataValidation type="list" allowBlank="1" showInputMessage="1" showErrorMessage="1" sqref="B8">
      <formula1>Disciplines</formula1>
    </dataValidation>
    <dataValidation type="list" allowBlank="1" showInputMessage="1" showErrorMessage="1" sqref="B9">
      <formula1>Disciplines</formula1>
    </dataValidation>
    <dataValidation type="list" allowBlank="1" showInputMessage="1" showErrorMessage="1" sqref="B10">
      <formula1>Disciplines</formula1>
    </dataValidation>
    <dataValidation type="list" allowBlank="1" showInputMessage="1" showErrorMessage="1" sqref="B11">
      <formula1>Disciplines</formula1>
    </dataValidation>
    <dataValidation type="list" allowBlank="1" showInputMessage="1" showErrorMessage="1" sqref="B12">
      <formula1>Disciplines</formula1>
    </dataValidation>
    <dataValidation type="list" allowBlank="1" showInputMessage="1" showErrorMessage="1" sqref="B13">
      <formula1>Disciplines</formula1>
    </dataValidation>
    <dataValidation type="list" allowBlank="1" showInputMessage="1" showErrorMessage="1" sqref="B14">
      <formula1>Disciplines</formula1>
    </dataValidation>
    <dataValidation type="list" allowBlank="1" showInputMessage="1" showErrorMessage="1" sqref="B15">
      <formula1>Disciplines</formula1>
    </dataValidation>
    <dataValidation type="list" allowBlank="1" showInputMessage="1" showErrorMessage="1" sqref="B16">
      <formula1>Disciplines</formula1>
    </dataValidation>
    <dataValidation type="list" allowBlank="1" showInputMessage="1" showErrorMessage="1" sqref="B17">
      <formula1>Disciplines</formula1>
    </dataValidation>
    <dataValidation type="list" allowBlank="1" showInputMessage="1" showErrorMessage="1" sqref="B18">
      <formula1>Disciplines</formula1>
    </dataValidation>
    <dataValidation type="list" allowBlank="1" showInputMessage="1" showErrorMessage="1" sqref="B19">
      <formula1>Disciplines</formula1>
    </dataValidation>
    <dataValidation type="list" allowBlank="1" showInputMessage="1" showErrorMessage="1" sqref="B20">
      <formula1>Disciplines</formula1>
    </dataValidation>
    <dataValidation type="list" allowBlank="1" showInputMessage="1" showErrorMessage="1" sqref="B21">
      <formula1>Disciplines</formula1>
    </dataValidation>
    <dataValidation type="list" allowBlank="1" showInputMessage="1" showErrorMessage="1" sqref="B22">
      <formula1>Disciplines</formula1>
    </dataValidation>
    <dataValidation type="list" allowBlank="1" showInputMessage="1" showErrorMessage="1" sqref="B23">
      <formula1>Disciplines</formula1>
    </dataValidation>
    <dataValidation type="list" allowBlank="1" showInputMessage="1" showErrorMessage="1" sqref="B24">
      <formula1>Disciplines</formula1>
    </dataValidation>
    <dataValidation type="list" allowBlank="1" showInputMessage="1" showErrorMessage="1" sqref="B25">
      <formula1>Disciplines</formula1>
    </dataValidation>
    <dataValidation type="list" allowBlank="1" showInputMessage="1" showErrorMessage="1" sqref="B26">
      <formula1>Disciplines</formula1>
    </dataValidation>
    <dataValidation type="list" allowBlank="1" showInputMessage="1" showErrorMessage="1" sqref="B27">
      <formula1>Disciplines</formula1>
    </dataValidation>
    <dataValidation type="list" allowBlank="1" showInputMessage="1" showErrorMessage="1" sqref="B28">
      <formula1>Disciplines</formula1>
    </dataValidation>
    <dataValidation type="list" allowBlank="1" showInputMessage="1" showErrorMessage="1" sqref="B29">
      <formula1>Disciplines</formula1>
    </dataValidation>
    <dataValidation type="list" allowBlank="1" showInputMessage="1" showErrorMessage="1" sqref="B30">
      <formula1>Disciplines</formula1>
    </dataValidation>
    <dataValidation type="list" allowBlank="1" showInputMessage="1" showErrorMessage="1" sqref="B31">
      <formula1>Disciplines</formula1>
    </dataValidation>
    <dataValidation type="list" allowBlank="1" showInputMessage="1" showErrorMessage="1" sqref="B32">
      <formula1>Disciplines</formula1>
    </dataValidation>
    <dataValidation type="list" allowBlank="1" showInputMessage="1" showErrorMessage="1" sqref="B33">
      <formula1>Disciplines</formula1>
    </dataValidation>
    <dataValidation type="list" allowBlank="1" showInputMessage="1" showErrorMessage="1" sqref="B34">
      <formula1>Disciplines</formula1>
    </dataValidation>
    <dataValidation type="list" allowBlank="1" showInputMessage="1" showErrorMessage="1" sqref="B35">
      <formula1>Disciplines</formula1>
    </dataValidation>
    <dataValidation type="list" allowBlank="1" showInputMessage="1" showErrorMessage="1" sqref="B36">
      <formula1>Disciplines</formula1>
    </dataValidation>
    <dataValidation type="list" allowBlank="1" showInputMessage="1" showErrorMessage="1" sqref="B37">
      <formula1>Disciplines</formula1>
    </dataValidation>
    <dataValidation type="list" allowBlank="1" showInputMessage="1" showErrorMessage="1" sqref="B38">
      <formula1>Disciplines</formula1>
    </dataValidation>
    <dataValidation type="list" allowBlank="1" showInputMessage="1" showErrorMessage="1" sqref="B39">
      <formula1>Disciplines</formula1>
    </dataValidation>
    <dataValidation type="list" allowBlank="1" showInputMessage="1" showErrorMessage="1" sqref="B40">
      <formula1>Disciplines</formula1>
    </dataValidation>
    <dataValidation type="list" allowBlank="1" showInputMessage="1" showErrorMessage="1" sqref="B41">
      <formula1>Disciplines</formula1>
    </dataValidation>
    <dataValidation type="list" allowBlank="1" showInputMessage="1" showErrorMessage="1" sqref="B42">
      <formula1>Disciplines</formula1>
    </dataValidation>
    <dataValidation type="list" allowBlank="1" showInputMessage="1" showErrorMessage="1" sqref="B43">
      <formula1>Disciplines</formula1>
    </dataValidation>
    <dataValidation type="list" allowBlank="1" showInputMessage="1" showErrorMessage="1" sqref="B44">
      <formula1>Disciplines</formula1>
    </dataValidation>
    <dataValidation type="list" allowBlank="1" showInputMessage="1" showErrorMessage="1" sqref="B45">
      <formula1>Disciplines</formula1>
    </dataValidation>
    <dataValidation type="list" allowBlank="1" showInputMessage="1" showErrorMessage="1" sqref="B46">
      <formula1>Disciplines</formula1>
    </dataValidation>
    <dataValidation type="list" allowBlank="1" showInputMessage="1" showErrorMessage="1" sqref="B47">
      <formula1>Disciplines</formula1>
    </dataValidation>
    <dataValidation type="list" allowBlank="1" showInputMessage="1" showErrorMessage="1" sqref="B48">
      <formula1>Disciplines</formula1>
    </dataValidation>
    <dataValidation type="list" allowBlank="1" showInputMessage="1" showErrorMessage="1" sqref="B49">
      <formula1>Disciplines</formula1>
    </dataValidation>
    <dataValidation type="list" allowBlank="1" showInputMessage="1" showErrorMessage="1" sqref="B50">
      <formula1>Disciplines</formula1>
    </dataValidation>
    <dataValidation type="list" allowBlank="1" showInputMessage="1" showErrorMessage="1" sqref="B51">
      <formula1>Disciplines</formula1>
    </dataValidation>
    <dataValidation type="list" allowBlank="1" showInputMessage="1" showErrorMessage="1" sqref="B52">
      <formula1>Disciplines</formula1>
    </dataValidation>
    <dataValidation type="list" allowBlank="1" showInputMessage="1" showErrorMessage="1" sqref="B53">
      <formula1>Disciplines</formula1>
    </dataValidation>
    <dataValidation type="list" allowBlank="1" showInputMessage="1" showErrorMessage="1" sqref="B54">
      <formula1>Disciplines</formula1>
    </dataValidation>
    <dataValidation type="list" allowBlank="1" showInputMessage="1" showErrorMessage="1" sqref="B55">
      <formula1>Disciplines</formula1>
    </dataValidation>
    <dataValidation type="list" allowBlank="1" showInputMessage="1" showErrorMessage="1" sqref="B56">
      <formula1>Disciplines</formula1>
    </dataValidation>
    <dataValidation type="list" allowBlank="1" showInputMessage="1" showErrorMessage="1" sqref="B57">
      <formula1>Disciplines</formula1>
    </dataValidation>
    <dataValidation type="list" allowBlank="1" showInputMessage="1" showErrorMessage="1" sqref="B58">
      <formula1>Disciplines</formula1>
    </dataValidation>
    <dataValidation type="list" allowBlank="1" showInputMessage="1" showErrorMessage="1" sqref="B59">
      <formula1>Disciplines</formula1>
    </dataValidation>
    <dataValidation type="list" allowBlank="1" showInputMessage="1" showErrorMessage="1" sqref="B60">
      <formula1>Disciplines</formula1>
    </dataValidation>
    <dataValidation type="list" allowBlank="1" showInputMessage="1" showErrorMessage="1" sqref="B61">
      <formula1>Disciplines</formula1>
    </dataValidation>
    <dataValidation type="list" allowBlank="1" showInputMessage="1" showErrorMessage="1" sqref="B62">
      <formula1>Disciplines</formula1>
    </dataValidation>
    <dataValidation type="list" allowBlank="1" showInputMessage="1" showErrorMessage="1" sqref="B63">
      <formula1>Disciplines</formula1>
    </dataValidation>
    <dataValidation type="list" allowBlank="1" showInputMessage="1" showErrorMessage="1" sqref="B64">
      <formula1>Disciplines</formula1>
    </dataValidation>
    <dataValidation type="list" allowBlank="1" showInputMessage="1" showErrorMessage="1" sqref="B65">
      <formula1>Disciplines</formula1>
    </dataValidation>
    <dataValidation type="list" allowBlank="1" showInputMessage="1" showErrorMessage="1" sqref="B66">
      <formula1>Disciplines</formula1>
    </dataValidation>
    <dataValidation type="list" allowBlank="1" showInputMessage="1" showErrorMessage="1" sqref="B67">
      <formula1>Disciplines</formula1>
    </dataValidation>
    <dataValidation type="list" allowBlank="1" showInputMessage="1" showErrorMessage="1" sqref="B68">
      <formula1>Disciplines</formula1>
    </dataValidation>
    <dataValidation type="list" allowBlank="1" showInputMessage="1" showErrorMessage="1" sqref="B69">
      <formula1>Disciplines</formula1>
    </dataValidation>
    <dataValidation type="list" allowBlank="1" showInputMessage="1" showErrorMessage="1" sqref="B70">
      <formula1>Disciplines</formula1>
    </dataValidation>
    <dataValidation type="list" allowBlank="1" showInputMessage="1" showErrorMessage="1" sqref="B71">
      <formula1>Disciplines</formula1>
    </dataValidation>
    <dataValidation type="list" allowBlank="1" showInputMessage="1" showErrorMessage="1" sqref="B72">
      <formula1>Disciplines</formula1>
    </dataValidation>
    <dataValidation type="list" allowBlank="1" showInputMessage="1" showErrorMessage="1" sqref="B73">
      <formula1>Disciplines</formula1>
    </dataValidation>
    <dataValidation type="list" allowBlank="1" showInputMessage="1" showErrorMessage="1" sqref="B74">
      <formula1>Disciplines</formula1>
    </dataValidation>
    <dataValidation type="list" allowBlank="1" showInputMessage="1" showErrorMessage="1" sqref="B75">
      <formula1>Disciplines</formula1>
    </dataValidation>
    <dataValidation type="list" allowBlank="1" showInputMessage="1" showErrorMessage="1" sqref="B76">
      <formula1>Disciplines</formula1>
    </dataValidation>
    <dataValidation type="list" allowBlank="1" showInputMessage="1" showErrorMessage="1" sqref="B77">
      <formula1>Disciplines</formula1>
    </dataValidation>
    <dataValidation type="list" allowBlank="1" showInputMessage="1" showErrorMessage="1" sqref="B78">
      <formula1>Disciplines</formula1>
    </dataValidation>
    <dataValidation type="list" allowBlank="1" showInputMessage="1" showErrorMessage="1" sqref="B79">
      <formula1>Disciplines</formula1>
    </dataValidation>
    <dataValidation type="list" allowBlank="1" showInputMessage="1" showErrorMessage="1" sqref="B80">
      <formula1>Disciplines</formula1>
    </dataValidation>
    <dataValidation type="list" allowBlank="1" showInputMessage="1" showErrorMessage="1" sqref="B81">
      <formula1>Disciplines</formula1>
    </dataValidation>
    <dataValidation type="list" allowBlank="1" showInputMessage="1" showErrorMessage="1" sqref="B82">
      <formula1>Disciplines</formula1>
    </dataValidation>
    <dataValidation type="list" allowBlank="1" showInputMessage="1" showErrorMessage="1" sqref="B83">
      <formula1>Disciplines</formula1>
    </dataValidation>
    <dataValidation type="list" allowBlank="1" showInputMessage="1" showErrorMessage="1" sqref="B84">
      <formula1>Disciplines</formula1>
    </dataValidation>
    <dataValidation type="list" allowBlank="1" showInputMessage="1" showErrorMessage="1" sqref="B85">
      <formula1>Disciplines</formula1>
    </dataValidation>
    <dataValidation type="list" allowBlank="1" showInputMessage="1" showErrorMessage="1" sqref="B86">
      <formula1>Disciplines</formula1>
    </dataValidation>
    <dataValidation type="list" allowBlank="1" showInputMessage="1" showErrorMessage="1" sqref="B87">
      <formula1>Disciplines</formula1>
    </dataValidation>
    <dataValidation type="list" allowBlank="1" showInputMessage="1" showErrorMessage="1" sqref="B88">
      <formula1>Disciplines</formula1>
    </dataValidation>
    <dataValidation type="list" allowBlank="1" showInputMessage="1" showErrorMessage="1" sqref="B89">
      <formula1>Disciplines</formula1>
    </dataValidation>
    <dataValidation type="list" allowBlank="1" showInputMessage="1" showErrorMessage="1" sqref="B90">
      <formula1>Disciplines</formula1>
    </dataValidation>
    <dataValidation type="list" allowBlank="1" showInputMessage="1" showErrorMessage="1" sqref="B91">
      <formula1>Disciplines</formula1>
    </dataValidation>
    <dataValidation type="list" allowBlank="1" showInputMessage="1" showErrorMessage="1" sqref="B92">
      <formula1>Disciplines</formula1>
    </dataValidation>
    <dataValidation type="list" allowBlank="1" showInputMessage="1" showErrorMessage="1" sqref="B93">
      <formula1>Disciplines</formula1>
    </dataValidation>
    <dataValidation type="list" allowBlank="1" showInputMessage="1" showErrorMessage="1" sqref="B94">
      <formula1>Disciplines</formula1>
    </dataValidation>
    <dataValidation type="list" allowBlank="1" showInputMessage="1" showErrorMessage="1" sqref="B95">
      <formula1>Disciplines</formula1>
    </dataValidation>
    <dataValidation type="list" allowBlank="1" showInputMessage="1" showErrorMessage="1" sqref="B96">
      <formula1>Disciplines</formula1>
    </dataValidation>
    <dataValidation type="list" allowBlank="1" showInputMessage="1" showErrorMessage="1" sqref="B97">
      <formula1>Disciplines</formula1>
    </dataValidation>
    <dataValidation type="list" allowBlank="1" showInputMessage="1" showErrorMessage="1" sqref="B98">
      <formula1>Disciplines</formula1>
    </dataValidation>
    <dataValidation type="list" allowBlank="1" showInputMessage="1" showErrorMessage="1" sqref="B99">
      <formula1>Disciplines</formula1>
    </dataValidation>
    <dataValidation type="list" allowBlank="1" showInputMessage="1" showErrorMessage="1" sqref="B100">
      <formula1>Disciplines</formula1>
    </dataValidation>
    <dataValidation type="list" allowBlank="1" showInputMessage="1" showErrorMessage="1" sqref="B101">
      <formula1>Disciplines</formula1>
    </dataValidation>
    <dataValidation type="list" allowBlank="1" showInputMessage="1" showErrorMessage="1" sqref="B102">
      <formula1>Disciplines</formula1>
    </dataValidation>
    <dataValidation type="list" allowBlank="1" showInputMessage="1" showErrorMessage="1" sqref="B103">
      <formula1>Disciplines</formula1>
    </dataValidation>
    <dataValidation type="list" allowBlank="1" showInputMessage="1" showErrorMessage="1" sqref="B104">
      <formula1>Disciplines</formula1>
    </dataValidation>
    <dataValidation type="list" allowBlank="1" showInputMessage="1" showErrorMessage="1" sqref="B105">
      <formula1>Disciplines</formula1>
    </dataValidation>
    <dataValidation type="list" allowBlank="1" showInputMessage="1" showErrorMessage="1" sqref="B106">
      <formula1>Disciplines</formula1>
    </dataValidation>
    <dataValidation type="list" allowBlank="1" showInputMessage="1" showErrorMessage="1" sqref="B107">
      <formula1>Disciplines</formula1>
    </dataValidation>
    <dataValidation type="list" allowBlank="1" showInputMessage="1" showErrorMessage="1" sqref="B108">
      <formula1>Disciplines</formula1>
    </dataValidation>
    <dataValidation type="list" allowBlank="1" showInputMessage="1" showErrorMessage="1" sqref="B109">
      <formula1>Disciplines</formula1>
    </dataValidation>
    <dataValidation type="list" allowBlank="1" showInputMessage="1" showErrorMessage="1" sqref="B110">
      <formula1>Disciplines</formula1>
    </dataValidation>
    <dataValidation type="list" allowBlank="1" showInputMessage="1" showErrorMessage="1" sqref="B111">
      <formula1>Disciplines</formula1>
    </dataValidation>
    <dataValidation type="list" allowBlank="1" showInputMessage="1" showErrorMessage="1" sqref="B112">
      <formula1>Disciplines</formula1>
    </dataValidation>
    <dataValidation type="list" allowBlank="1" showInputMessage="1" showErrorMessage="1" sqref="B113">
      <formula1>Disciplines</formula1>
    </dataValidation>
    <dataValidation type="list" allowBlank="1" showInputMessage="1" showErrorMessage="1" sqref="B114">
      <formula1>Disciplines</formula1>
    </dataValidation>
    <dataValidation type="list" allowBlank="1" showInputMessage="1" showErrorMessage="1" sqref="B115">
      <formula1>Disciplines</formula1>
    </dataValidation>
    <dataValidation type="list" allowBlank="1" showInputMessage="1" showErrorMessage="1" sqref="B116">
      <formula1>Disciplines</formula1>
    </dataValidation>
    <dataValidation type="list" allowBlank="1" showInputMessage="1" showErrorMessage="1" sqref="B117">
      <formula1>Disciplines</formula1>
    </dataValidation>
    <dataValidation type="list" allowBlank="1" showInputMessage="1" showErrorMessage="1" sqref="B118">
      <formula1>Disciplines</formula1>
    </dataValidation>
    <dataValidation type="list" allowBlank="1" showInputMessage="1" showErrorMessage="1" sqref="B119">
      <formula1>Disciplines</formula1>
    </dataValidation>
    <dataValidation type="list" allowBlank="1" showInputMessage="1" showErrorMessage="1" sqref="B120">
      <formula1>Disciplines</formula1>
    </dataValidation>
    <dataValidation type="list" allowBlank="1" showInputMessage="1" showErrorMessage="1" sqref="B121">
      <formula1>Disciplines</formula1>
    </dataValidation>
    <dataValidation type="list" allowBlank="1" showInputMessage="1" showErrorMessage="1" sqref="B122">
      <formula1>Disciplines</formula1>
    </dataValidation>
    <dataValidation type="list" allowBlank="1" showInputMessage="1" showErrorMessage="1" sqref="B123">
      <formula1>Disciplines</formula1>
    </dataValidation>
    <dataValidation type="list" allowBlank="1" showInputMessage="1" showErrorMessage="1" sqref="B124">
      <formula1>Disciplines</formula1>
    </dataValidation>
    <dataValidation type="list" allowBlank="1" showInputMessage="1" showErrorMessage="1" sqref="B125">
      <formula1>Disciplines</formula1>
    </dataValidation>
    <dataValidation type="list" allowBlank="1" showInputMessage="1" showErrorMessage="1" sqref="B126">
      <formula1>Disciplines</formula1>
    </dataValidation>
    <dataValidation type="list" allowBlank="1" showInputMessage="1" showErrorMessage="1" sqref="B127">
      <formula1>Disciplines</formula1>
    </dataValidation>
    <dataValidation type="list" allowBlank="1" showInputMessage="1" showErrorMessage="1" sqref="B128">
      <formula1>Disciplines</formula1>
    </dataValidation>
    <dataValidation type="list" allowBlank="1" showInputMessage="1" showErrorMessage="1" sqref="B129">
      <formula1>Disciplines</formula1>
    </dataValidation>
    <dataValidation type="list" allowBlank="1" showInputMessage="1" showErrorMessage="1" sqref="B130">
      <formula1>Disciplines</formula1>
    </dataValidation>
    <dataValidation type="list" allowBlank="1" showInputMessage="1" showErrorMessage="1" sqref="B131">
      <formula1>Disciplines</formula1>
    </dataValidation>
    <dataValidation type="list" allowBlank="1" showInputMessage="1" showErrorMessage="1" sqref="B132">
      <formula1>Disciplines</formula1>
    </dataValidation>
    <dataValidation type="list" allowBlank="1" showInputMessage="1" showErrorMessage="1" sqref="B133">
      <formula1>Disciplines</formula1>
    </dataValidation>
    <dataValidation type="list" allowBlank="1" showInputMessage="1" showErrorMessage="1" sqref="B134">
      <formula1>Disciplines</formula1>
    </dataValidation>
    <dataValidation type="list" allowBlank="1" showInputMessage="1" showErrorMessage="1" sqref="B135">
      <formula1>Disciplines</formula1>
    </dataValidation>
    <dataValidation type="list" allowBlank="1" showInputMessage="1" showErrorMessage="1" sqref="B136">
      <formula1>Disciplines</formula1>
    </dataValidation>
    <dataValidation type="list" allowBlank="1" showInputMessage="1" showErrorMessage="1" sqref="B137">
      <formula1>Disciplines</formula1>
    </dataValidation>
    <dataValidation type="list" allowBlank="1" showInputMessage="1" showErrorMessage="1" sqref="B138">
      <formula1>Disciplines</formula1>
    </dataValidation>
    <dataValidation type="list" allowBlank="1" showInputMessage="1" showErrorMessage="1" sqref="B139">
      <formula1>Disciplines</formula1>
    </dataValidation>
    <dataValidation type="list" allowBlank="1" showInputMessage="1" showErrorMessage="1" sqref="B140">
      <formula1>Disciplines</formula1>
    </dataValidation>
    <dataValidation type="list" allowBlank="1" showInputMessage="1" showErrorMessage="1" sqref="B141">
      <formula1>Disciplines</formula1>
    </dataValidation>
    <dataValidation type="list" allowBlank="1" showInputMessage="1" showErrorMessage="1" sqref="B142">
      <formula1>Disciplines</formula1>
    </dataValidation>
    <dataValidation type="list" allowBlank="1" showInputMessage="1" showErrorMessage="1" sqref="B143">
      <formula1>Disciplines</formula1>
    </dataValidation>
    <dataValidation type="list" allowBlank="1" showInputMessage="1" showErrorMessage="1" sqref="B144">
      <formula1>Disciplines</formula1>
    </dataValidation>
    <dataValidation type="list" allowBlank="1" showInputMessage="1" showErrorMessage="1" sqref="B145">
      <formula1>Disciplines</formula1>
    </dataValidation>
    <dataValidation type="list" allowBlank="1" showInputMessage="1" showErrorMessage="1" sqref="B146">
      <formula1>Disciplines</formula1>
    </dataValidation>
    <dataValidation type="list" allowBlank="1" showInputMessage="1" showErrorMessage="1" sqref="B147">
      <formula1>Disciplines</formula1>
    </dataValidation>
    <dataValidation type="list" allowBlank="1" showInputMessage="1" showErrorMessage="1" sqref="B148">
      <formula1>Disciplines</formula1>
    </dataValidation>
    <dataValidation type="list" allowBlank="1" showInputMessage="1" showErrorMessage="1" sqref="B149">
      <formula1>Disciplines</formula1>
    </dataValidation>
    <dataValidation type="list" allowBlank="1" showInputMessage="1" showErrorMessage="1" sqref="B150">
      <formula1>Disciplines</formula1>
    </dataValidation>
    <dataValidation type="list" allowBlank="1" showInputMessage="1" showErrorMessage="1" sqref="B151">
      <formula1>Disciplines</formula1>
    </dataValidation>
    <dataValidation type="list" allowBlank="1" showInputMessage="1" showErrorMessage="1" sqref="B152">
      <formula1>Disciplines</formula1>
    </dataValidation>
    <dataValidation type="list" allowBlank="1" showInputMessage="1" showErrorMessage="1" sqref="B153">
      <formula1>Disciplines</formula1>
    </dataValidation>
    <dataValidation type="list" allowBlank="1" showInputMessage="1" showErrorMessage="1" sqref="B154">
      <formula1>Disciplines</formula1>
    </dataValidation>
    <dataValidation type="list" allowBlank="1" showInputMessage="1" showErrorMessage="1" sqref="B155">
      <formula1>Disciplines</formula1>
    </dataValidation>
    <dataValidation type="list" allowBlank="1" showInputMessage="1" showErrorMessage="1" sqref="B156">
      <formula1>Disciplines</formula1>
    </dataValidation>
    <dataValidation type="list" allowBlank="1" showInputMessage="1" showErrorMessage="1" sqref="B157">
      <formula1>Disciplines</formula1>
    </dataValidation>
    <dataValidation type="list" allowBlank="1" showInputMessage="1" showErrorMessage="1" sqref="B158">
      <formula1>Disciplines</formula1>
    </dataValidation>
    <dataValidation type="list" allowBlank="1" showInputMessage="1" showErrorMessage="1" sqref="B159">
      <formula1>Disciplines</formula1>
    </dataValidation>
    <dataValidation type="list" allowBlank="1" showInputMessage="1" showErrorMessage="1" sqref="B160">
      <formula1>Disciplines</formula1>
    </dataValidation>
    <dataValidation type="list" allowBlank="1" showInputMessage="1" showErrorMessage="1" sqref="B161">
      <formula1>Disciplines</formula1>
    </dataValidation>
    <dataValidation type="list" allowBlank="1" showInputMessage="1" showErrorMessage="1" sqref="B162">
      <formula1>Disciplines</formula1>
    </dataValidation>
    <dataValidation type="list" allowBlank="1" showInputMessage="1" showErrorMessage="1" sqref="B163">
      <formula1>Disciplines</formula1>
    </dataValidation>
    <dataValidation type="list" allowBlank="1" showInputMessage="1" showErrorMessage="1" sqref="B164">
      <formula1>Disciplines</formula1>
    </dataValidation>
    <dataValidation type="list" allowBlank="1" showInputMessage="1" showErrorMessage="1" sqref="B165">
      <formula1>Disciplines</formula1>
    </dataValidation>
    <dataValidation type="list" allowBlank="1" showInputMessage="1" showErrorMessage="1" sqref="B166">
      <formula1>Disciplines</formula1>
    </dataValidation>
    <dataValidation type="list" allowBlank="1" showInputMessage="1" showErrorMessage="1" sqref="B167">
      <formula1>Disciplines</formula1>
    </dataValidation>
    <dataValidation type="list" allowBlank="1" showInputMessage="1" showErrorMessage="1" sqref="B168">
      <formula1>Disciplines</formula1>
    </dataValidation>
    <dataValidation type="list" allowBlank="1" showInputMessage="1" showErrorMessage="1" sqref="B169">
      <formula1>Disciplines</formula1>
    </dataValidation>
    <dataValidation type="list" allowBlank="1" showInputMessage="1" showErrorMessage="1" sqref="B170">
      <formula1>Disciplines</formula1>
    </dataValidation>
    <dataValidation type="list" allowBlank="1" showInputMessage="1" showErrorMessage="1" sqref="B171">
      <formula1>Disciplines</formula1>
    </dataValidation>
    <dataValidation type="list" allowBlank="1" showInputMessage="1" showErrorMessage="1" sqref="B172">
      <formula1>Disciplines</formula1>
    </dataValidation>
    <dataValidation type="list" allowBlank="1" showInputMessage="1" showErrorMessage="1" sqref="B173">
      <formula1>Disciplines</formula1>
    </dataValidation>
    <dataValidation type="list" allowBlank="1" showInputMessage="1" showErrorMessage="1" sqref="B174">
      <formula1>Disciplines</formula1>
    </dataValidation>
    <dataValidation type="list" allowBlank="1" showInputMessage="1" showErrorMessage="1" sqref="B175">
      <formula1>Disciplines</formula1>
    </dataValidation>
    <dataValidation type="list" allowBlank="1" showInputMessage="1" showErrorMessage="1" sqref="B176">
      <formula1>Disciplines</formula1>
    </dataValidation>
    <dataValidation type="list" allowBlank="1" showInputMessage="1" showErrorMessage="1" sqref="B177">
      <formula1>Disciplines</formula1>
    </dataValidation>
    <dataValidation type="list" allowBlank="1" showInputMessage="1" showErrorMessage="1" sqref="B178">
      <formula1>Disciplines</formula1>
    </dataValidation>
    <dataValidation type="list" allowBlank="1" showInputMessage="1" showErrorMessage="1" sqref="B179">
      <formula1>Disciplines</formula1>
    </dataValidation>
    <dataValidation type="list" allowBlank="1" showInputMessage="1" showErrorMessage="1" sqref="B180">
      <formula1>Disciplines</formula1>
    </dataValidation>
    <dataValidation type="list" allowBlank="1" showInputMessage="1" showErrorMessage="1" sqref="B181">
      <formula1>Disciplines</formula1>
    </dataValidation>
    <dataValidation type="list" allowBlank="1" showInputMessage="1" showErrorMessage="1" sqref="B182">
      <formula1>Disciplines</formula1>
    </dataValidation>
    <dataValidation type="list" allowBlank="1" showInputMessage="1" showErrorMessage="1" sqref="B183">
      <formula1>Disciplines</formula1>
    </dataValidation>
    <dataValidation type="list" allowBlank="1" showInputMessage="1" showErrorMessage="1" sqref="B184">
      <formula1>Disciplines</formula1>
    </dataValidation>
    <dataValidation type="list" allowBlank="1" showInputMessage="1" showErrorMessage="1" sqref="B185">
      <formula1>Disciplines</formula1>
    </dataValidation>
    <dataValidation type="list" allowBlank="1" showInputMessage="1" showErrorMessage="1" sqref="B186">
      <formula1>Disciplines</formula1>
    </dataValidation>
    <dataValidation type="list" allowBlank="1" showInputMessage="1" showErrorMessage="1" sqref="B187">
      <formula1>Disciplines</formula1>
    </dataValidation>
    <dataValidation type="list" allowBlank="1" showInputMessage="1" showErrorMessage="1" sqref="B188">
      <formula1>Disciplines</formula1>
    </dataValidation>
    <dataValidation type="list" allowBlank="1" showInputMessage="1" showErrorMessage="1" sqref="B189">
      <formula1>Disciplines</formula1>
    </dataValidation>
    <dataValidation type="list" allowBlank="1" showInputMessage="1" showErrorMessage="1" sqref="B190">
      <formula1>Disciplines</formula1>
    </dataValidation>
    <dataValidation type="list" allowBlank="1" showInputMessage="1" showErrorMessage="1" sqref="B191">
      <formula1>Disciplines</formula1>
    </dataValidation>
    <dataValidation type="list" allowBlank="1" showInputMessage="1" showErrorMessage="1" sqref="B192">
      <formula1>Disciplines</formula1>
    </dataValidation>
    <dataValidation type="list" allowBlank="1" showInputMessage="1" showErrorMessage="1" sqref="B193">
      <formula1>Disciplines</formula1>
    </dataValidation>
    <dataValidation type="list" allowBlank="1" showInputMessage="1" showErrorMessage="1" sqref="B194">
      <formula1>Disciplines</formula1>
    </dataValidation>
    <dataValidation type="list" allowBlank="1" showInputMessage="1" showErrorMessage="1" sqref="B195">
      <formula1>Disciplines</formula1>
    </dataValidation>
    <dataValidation type="list" allowBlank="1" showInputMessage="1" showErrorMessage="1" sqref="B196">
      <formula1>Disciplines</formula1>
    </dataValidation>
    <dataValidation type="list" allowBlank="1" showInputMessage="1" showErrorMessage="1" sqref="B197">
      <formula1>Disciplines</formula1>
    </dataValidation>
    <dataValidation type="list" allowBlank="1" showInputMessage="1" showErrorMessage="1" sqref="B198">
      <formula1>Disciplines</formula1>
    </dataValidation>
    <dataValidation type="list" allowBlank="1" showInputMessage="1" showErrorMessage="1" sqref="B199">
      <formula1>Disciplines</formula1>
    </dataValidation>
    <dataValidation type="list" allowBlank="1" showInputMessage="1" showErrorMessage="1" sqref="B200">
      <formula1>Disciplines</formula1>
    </dataValidation>
    <dataValidation type="list" allowBlank="1" showInputMessage="1" showErrorMessage="1" sqref="B201">
      <formula1>Disciplines</formula1>
    </dataValidation>
    <dataValidation type="list" allowBlank="1" showInputMessage="1" showErrorMessage="1" sqref="B202">
      <formula1>Disciplines</formula1>
    </dataValidation>
    <dataValidation type="list" allowBlank="1" showInputMessage="1" showErrorMessage="1" sqref="B203">
      <formula1>Disciplines</formula1>
    </dataValidation>
    <dataValidation type="list" allowBlank="1" showInputMessage="1" showErrorMessage="1" sqref="B204">
      <formula1>Disciplines</formula1>
    </dataValidation>
    <dataValidation type="list" allowBlank="1" showInputMessage="1" showErrorMessage="1" sqref="B205">
      <formula1>Disciplines</formula1>
    </dataValidation>
    <dataValidation type="list" allowBlank="1" showInputMessage="1" showErrorMessage="1" sqref="B206">
      <formula1>Disciplines</formula1>
    </dataValidation>
    <dataValidation type="list" allowBlank="1" showInputMessage="1" showErrorMessage="1" sqref="B207">
      <formula1>Disciplines</formula1>
    </dataValidation>
    <dataValidation type="list" allowBlank="1" showInputMessage="1" showErrorMessage="1" sqref="B208">
      <formula1>Disciplines</formula1>
    </dataValidation>
    <dataValidation type="list" allowBlank="1" showInputMessage="1" showErrorMessage="1" sqref="B209">
      <formula1>Disciplines</formula1>
    </dataValidation>
    <dataValidation type="list" allowBlank="1" showInputMessage="1" showErrorMessage="1" sqref="B210">
      <formula1>Disciplines</formula1>
    </dataValidation>
    <dataValidation type="list" allowBlank="1" showInputMessage="1" showErrorMessage="1" sqref="B211">
      <formula1>Disciplines</formula1>
    </dataValidation>
    <dataValidation type="list" allowBlank="1" showInputMessage="1" showErrorMessage="1" sqref="B212">
      <formula1>Disciplines</formula1>
    </dataValidation>
    <dataValidation type="list" allowBlank="1" showInputMessage="1" showErrorMessage="1" sqref="B213">
      <formula1>Disciplines</formula1>
    </dataValidation>
    <dataValidation type="list" allowBlank="1" showInputMessage="1" showErrorMessage="1" sqref="B214">
      <formula1>Disciplines</formula1>
    </dataValidation>
    <dataValidation type="list" allowBlank="1" showInputMessage="1" showErrorMessage="1" sqref="B215">
      <formula1>Disciplines</formula1>
    </dataValidation>
    <dataValidation type="list" allowBlank="1" showInputMessage="1" showErrorMessage="1" sqref="B216">
      <formula1>Disciplines</formula1>
    </dataValidation>
    <dataValidation type="list" allowBlank="1" showInputMessage="1" showErrorMessage="1" sqref="B217">
      <formula1>Disciplines</formula1>
    </dataValidation>
    <dataValidation type="list" allowBlank="1" showInputMessage="1" showErrorMessage="1" sqref="B218">
      <formula1>Disciplines</formula1>
    </dataValidation>
    <dataValidation type="list" allowBlank="1" showInputMessage="1" showErrorMessage="1" sqref="B219">
      <formula1>Disciplines</formula1>
    </dataValidation>
    <dataValidation type="list" allowBlank="1" showInputMessage="1" showErrorMessage="1" sqref="B220">
      <formula1>Disciplines</formula1>
    </dataValidation>
    <dataValidation type="list" allowBlank="1" showInputMessage="1" showErrorMessage="1" sqref="B221">
      <formula1>Disciplines</formula1>
    </dataValidation>
    <dataValidation type="list" allowBlank="1" showInputMessage="1" showErrorMessage="1" sqref="B222">
      <formula1>Disciplines</formula1>
    </dataValidation>
    <dataValidation type="list" allowBlank="1" showInputMessage="1" showErrorMessage="1" sqref="B223">
      <formula1>Disciplines</formula1>
    </dataValidation>
    <dataValidation type="list" allowBlank="1" showInputMessage="1" showErrorMessage="1" sqref="B224">
      <formula1>Disciplines</formula1>
    </dataValidation>
    <dataValidation type="list" allowBlank="1" showInputMessage="1" showErrorMessage="1" sqref="B225">
      <formula1>Disciplines</formula1>
    </dataValidation>
    <dataValidation type="list" allowBlank="1" showInputMessage="1" showErrorMessage="1" sqref="B226">
      <formula1>Disciplines</formula1>
    </dataValidation>
    <dataValidation type="list" allowBlank="1" showInputMessage="1" showErrorMessage="1" sqref="B227">
      <formula1>Disciplines</formula1>
    </dataValidation>
    <dataValidation type="list" allowBlank="1" showInputMessage="1" showErrorMessage="1" sqref="B228">
      <formula1>Disciplines</formula1>
    </dataValidation>
    <dataValidation type="list" allowBlank="1" showInputMessage="1" showErrorMessage="1" sqref="B229">
      <formula1>Disciplines</formula1>
    </dataValidation>
    <dataValidation type="list" allowBlank="1" showInputMessage="1" showErrorMessage="1" sqref="B230">
      <formula1>Disciplines</formula1>
    </dataValidation>
    <dataValidation type="list" allowBlank="1" showInputMessage="1" showErrorMessage="1" sqref="B231">
      <formula1>Disciplines</formula1>
    </dataValidation>
    <dataValidation type="list" allowBlank="1" showInputMessage="1" showErrorMessage="1" sqref="B232">
      <formula1>Disciplines</formula1>
    </dataValidation>
    <dataValidation type="list" allowBlank="1" showInputMessage="1" showErrorMessage="1" sqref="B233">
      <formula1>Disciplines</formula1>
    </dataValidation>
    <dataValidation type="list" allowBlank="1" showInputMessage="1" showErrorMessage="1" sqref="B234">
      <formula1>Disciplines</formula1>
    </dataValidation>
    <dataValidation type="list" allowBlank="1" showInputMessage="1" showErrorMessage="1" sqref="B235">
      <formula1>Disciplines</formula1>
    </dataValidation>
    <dataValidation type="list" allowBlank="1" showInputMessage="1" showErrorMessage="1" sqref="B236">
      <formula1>Disciplines</formula1>
    </dataValidation>
    <dataValidation type="list" allowBlank="1" showInputMessage="1" showErrorMessage="1" sqref="B237">
      <formula1>Disciplines</formula1>
    </dataValidation>
    <dataValidation type="list" allowBlank="1" showInputMessage="1" showErrorMessage="1" sqref="B238">
      <formula1>Disciplines</formula1>
    </dataValidation>
    <dataValidation type="list" allowBlank="1" showInputMessage="1" showErrorMessage="1" sqref="B239">
      <formula1>Disciplines</formula1>
    </dataValidation>
    <dataValidation type="list" allowBlank="1" showInputMessage="1" showErrorMessage="1" sqref="B240">
      <formula1>Disciplines</formula1>
    </dataValidation>
    <dataValidation type="list" allowBlank="1" showInputMessage="1" showErrorMessage="1" sqref="B241">
      <formula1>Disciplines</formula1>
    </dataValidation>
    <dataValidation type="list" allowBlank="1" showInputMessage="1" showErrorMessage="1" sqref="B242">
      <formula1>Disciplines</formula1>
    </dataValidation>
    <dataValidation type="list" allowBlank="1" showInputMessage="1" showErrorMessage="1" sqref="B243">
      <formula1>Disciplines</formula1>
    </dataValidation>
    <dataValidation type="list" allowBlank="1" showInputMessage="1" showErrorMessage="1" sqref="B244">
      <formula1>Disciplines</formula1>
    </dataValidation>
    <dataValidation type="list" allowBlank="1" showInputMessage="1" showErrorMessage="1" sqref="B245">
      <formula1>Disciplines</formula1>
    </dataValidation>
    <dataValidation type="list" allowBlank="1" showInputMessage="1" showErrorMessage="1" sqref="B246">
      <formula1>Disciplines</formula1>
    </dataValidation>
    <dataValidation type="list" allowBlank="1" showInputMessage="1" showErrorMessage="1" sqref="B247">
      <formula1>Disciplines</formula1>
    </dataValidation>
    <dataValidation type="list" allowBlank="1" showInputMessage="1" showErrorMessage="1" sqref="B248">
      <formula1>Disciplines</formula1>
    </dataValidation>
    <dataValidation type="list" allowBlank="1" showInputMessage="1" showErrorMessage="1" sqref="B249">
      <formula1>Disciplines</formula1>
    </dataValidation>
    <dataValidation type="list" allowBlank="1" showInputMessage="1" showErrorMessage="1" sqref="B250">
      <formula1>Disciplines</formula1>
    </dataValidation>
    <dataValidation type="list" allowBlank="1" showInputMessage="1" showErrorMessage="1" sqref="B251">
      <formula1>Disciplines</formula1>
    </dataValidation>
    <dataValidation type="list" allowBlank="1" showInputMessage="1" showErrorMessage="1" sqref="B252">
      <formula1>Disciplines</formula1>
    </dataValidation>
    <dataValidation type="list" allowBlank="1" showInputMessage="1" showErrorMessage="1" sqref="B253">
      <formula1>Disciplines</formula1>
    </dataValidation>
    <dataValidation type="list" allowBlank="1" showInputMessage="1" showErrorMessage="1" sqref="B254">
      <formula1>Disciplines</formula1>
    </dataValidation>
    <dataValidation type="list" allowBlank="1" showInputMessage="1" showErrorMessage="1" sqref="B255">
      <formula1>Disciplines</formula1>
    </dataValidation>
    <dataValidation type="list" allowBlank="1" showInputMessage="1" showErrorMessage="1" sqref="B256">
      <formula1>Disciplines</formula1>
    </dataValidation>
    <dataValidation type="list" allowBlank="1" showInputMessage="1" showErrorMessage="1" sqref="B257">
      <formula1>Disciplines</formula1>
    </dataValidation>
    <dataValidation type="list" allowBlank="1" showInputMessage="1" showErrorMessage="1" sqref="B258">
      <formula1>Disciplines</formula1>
    </dataValidation>
    <dataValidation type="list" allowBlank="1" showInputMessage="1" showErrorMessage="1" sqref="B259">
      <formula1>Disciplines</formula1>
    </dataValidation>
    <dataValidation type="list" allowBlank="1" showInputMessage="1" showErrorMessage="1" sqref="B260">
      <formula1>Disciplines</formula1>
    </dataValidation>
    <dataValidation type="list" allowBlank="1" showInputMessage="1" showErrorMessage="1" sqref="B261">
      <formula1>Disciplines</formula1>
    </dataValidation>
    <dataValidation type="list" allowBlank="1" showInputMessage="1" showErrorMessage="1" sqref="B262">
      <formula1>Disciplines</formula1>
    </dataValidation>
    <dataValidation type="list" allowBlank="1" showInputMessage="1" showErrorMessage="1" sqref="B263">
      <formula1>Disciplines</formula1>
    </dataValidation>
    <dataValidation type="list" allowBlank="1" showInputMessage="1" showErrorMessage="1" sqref="B264">
      <formula1>Disciplines</formula1>
    </dataValidation>
    <dataValidation type="list" allowBlank="1" showInputMessage="1" showErrorMessage="1" sqref="B265">
      <formula1>Disciplines</formula1>
    </dataValidation>
    <dataValidation type="list" allowBlank="1" showInputMessage="1" showErrorMessage="1" sqref="B266">
      <formula1>Disciplines</formula1>
    </dataValidation>
    <dataValidation type="list" allowBlank="1" showInputMessage="1" showErrorMessage="1" sqref="B267">
      <formula1>Disciplines</formula1>
    </dataValidation>
    <dataValidation type="list" allowBlank="1" showInputMessage="1" showErrorMessage="1" sqref="B268">
      <formula1>Disciplines</formula1>
    </dataValidation>
    <dataValidation type="list" allowBlank="1" showInputMessage="1" showErrorMessage="1" sqref="B269">
      <formula1>Disciplines</formula1>
    </dataValidation>
    <dataValidation type="list" allowBlank="1" showInputMessage="1" showErrorMessage="1" sqref="B270">
      <formula1>Disciplines</formula1>
    </dataValidation>
    <dataValidation type="list" allowBlank="1" showInputMessage="1" showErrorMessage="1" sqref="B271">
      <formula1>Disciplines</formula1>
    </dataValidation>
    <dataValidation type="list" allowBlank="1" showInputMessage="1" showErrorMessage="1" sqref="B272">
      <formula1>Disciplines</formula1>
    </dataValidation>
    <dataValidation type="list" allowBlank="1" showInputMessage="1" showErrorMessage="1" sqref="B273">
      <formula1>Disciplines</formula1>
    </dataValidation>
    <dataValidation type="list" allowBlank="1" showInputMessage="1" showErrorMessage="1" sqref="B274">
      <formula1>Disciplines</formula1>
    </dataValidation>
    <dataValidation type="list" allowBlank="1" showInputMessage="1" showErrorMessage="1" sqref="B275">
      <formula1>Disciplines</formula1>
    </dataValidation>
    <dataValidation type="list" allowBlank="1" showInputMessage="1" showErrorMessage="1" sqref="B276">
      <formula1>Disciplines</formula1>
    </dataValidation>
    <dataValidation type="list" allowBlank="1" showInputMessage="1" showErrorMessage="1" sqref="B277">
      <formula1>Disciplines</formula1>
    </dataValidation>
    <dataValidation type="list" allowBlank="1" showInputMessage="1" showErrorMessage="1" sqref="B278">
      <formula1>Disciplines</formula1>
    </dataValidation>
    <dataValidation type="list" allowBlank="1" showInputMessage="1" showErrorMessage="1" sqref="B279">
      <formula1>Disciplines</formula1>
    </dataValidation>
    <dataValidation type="list" allowBlank="1" showInputMessage="1" showErrorMessage="1" sqref="B280">
      <formula1>Disciplines</formula1>
    </dataValidation>
    <dataValidation type="list" allowBlank="1" showInputMessage="1" showErrorMessage="1" sqref="B281">
      <formula1>Disciplines</formula1>
    </dataValidation>
    <dataValidation type="list" allowBlank="1" showInputMessage="1" showErrorMessage="1" sqref="B282">
      <formula1>Disciplines</formula1>
    </dataValidation>
    <dataValidation type="list" allowBlank="1" showInputMessage="1" showErrorMessage="1" sqref="B283">
      <formula1>Disciplines</formula1>
    </dataValidation>
    <dataValidation type="list" allowBlank="1" showInputMessage="1" showErrorMessage="1" sqref="B284">
      <formula1>Disciplines</formula1>
    </dataValidation>
    <dataValidation type="list" allowBlank="1" showInputMessage="1" showErrorMessage="1" sqref="B285">
      <formula1>Disciplines</formula1>
    </dataValidation>
    <dataValidation type="list" allowBlank="1" showInputMessage="1" showErrorMessage="1" sqref="B286">
      <formula1>Disciplines</formula1>
    </dataValidation>
    <dataValidation type="list" allowBlank="1" showInputMessage="1" showErrorMessage="1" sqref="B287">
      <formula1>Disciplines</formula1>
    </dataValidation>
    <dataValidation type="list" allowBlank="1" showInputMessage="1" showErrorMessage="1" sqref="B288">
      <formula1>Disciplines</formula1>
    </dataValidation>
    <dataValidation type="list" allowBlank="1" showInputMessage="1" showErrorMessage="1" sqref="B289">
      <formula1>Disciplines</formula1>
    </dataValidation>
    <dataValidation type="list" allowBlank="1" showInputMessage="1" showErrorMessage="1" sqref="B290">
      <formula1>Disciplines</formula1>
    </dataValidation>
    <dataValidation type="list" allowBlank="1" showInputMessage="1" showErrorMessage="1" sqref="B291">
      <formula1>Disciplines</formula1>
    </dataValidation>
    <dataValidation type="list" allowBlank="1" showInputMessage="1" showErrorMessage="1" sqref="B292">
      <formula1>Disciplines</formula1>
    </dataValidation>
    <dataValidation type="list" allowBlank="1" showInputMessage="1" showErrorMessage="1" sqref="B293">
      <formula1>Disciplines</formula1>
    </dataValidation>
    <dataValidation type="list" allowBlank="1" showInputMessage="1" showErrorMessage="1" sqref="B294">
      <formula1>Disciplines</formula1>
    </dataValidation>
    <dataValidation type="list" allowBlank="1" showInputMessage="1" showErrorMessage="1" sqref="B295">
      <formula1>Disciplines</formula1>
    </dataValidation>
    <dataValidation type="list" allowBlank="1" showInputMessage="1" showErrorMessage="1" sqref="B296">
      <formula1>Disciplines</formula1>
    </dataValidation>
    <dataValidation type="list" allowBlank="1" showInputMessage="1" showErrorMessage="1" sqref="B297">
      <formula1>Disciplines</formula1>
    </dataValidation>
    <dataValidation type="list" allowBlank="1" showInputMessage="1" showErrorMessage="1" sqref="B298">
      <formula1>Disciplines</formula1>
    </dataValidation>
    <dataValidation type="list" allowBlank="1" showInputMessage="1" showErrorMessage="1" sqref="B299">
      <formula1>Disciplines</formula1>
    </dataValidation>
    <dataValidation type="list" allowBlank="1" showInputMessage="1" showErrorMessage="1" sqref="B300">
      <formula1>Disciplines</formula1>
    </dataValidation>
    <dataValidation type="list" allowBlank="1" showInputMessage="1" showErrorMessage="1" sqref="B301">
      <formula1>Disciplines</formula1>
    </dataValidation>
    <dataValidation type="list" allowBlank="1" showInputMessage="1" showErrorMessage="1" sqref="B302">
      <formula1>Disciplines</formula1>
    </dataValidation>
    <dataValidation type="list" allowBlank="1" showInputMessage="1" showErrorMessage="1" sqref="B303">
      <formula1>Disciplines</formula1>
    </dataValidation>
    <dataValidation type="list" allowBlank="1" showInputMessage="1" showErrorMessage="1" sqref="J4">
      <formula1>Drivetrains</formula1>
    </dataValidation>
    <dataValidation type="list" allowBlank="1" showInputMessage="1" showErrorMessage="1" sqref="J5">
      <formula1>Drivetrains</formula1>
    </dataValidation>
    <dataValidation type="list" allowBlank="1" showInputMessage="1" showErrorMessage="1" sqref="J6">
      <formula1>Drivetrains</formula1>
    </dataValidation>
    <dataValidation type="list" allowBlank="1" showInputMessage="1" showErrorMessage="1" sqref="J7">
      <formula1>Drivetrains</formula1>
    </dataValidation>
    <dataValidation type="list" allowBlank="1" showInputMessage="1" showErrorMessage="1" sqref="J8">
      <formula1>Drivetrains</formula1>
    </dataValidation>
    <dataValidation type="list" allowBlank="1" showInputMessage="1" showErrorMessage="1" sqref="J9">
      <formula1>Drivetrains</formula1>
    </dataValidation>
    <dataValidation type="list" allowBlank="1" showInputMessage="1" showErrorMessage="1" sqref="J10">
      <formula1>Drivetrains</formula1>
    </dataValidation>
    <dataValidation type="list" allowBlank="1" showInputMessage="1" showErrorMessage="1" sqref="J11">
      <formula1>Drivetrains</formula1>
    </dataValidation>
    <dataValidation type="list" allowBlank="1" showInputMessage="1" showErrorMessage="1" sqref="J12">
      <formula1>Drivetrains</formula1>
    </dataValidation>
    <dataValidation type="list" allowBlank="1" showInputMessage="1" showErrorMessage="1" sqref="J13">
      <formula1>Drivetrains</formula1>
    </dataValidation>
    <dataValidation type="list" allowBlank="1" showInputMessage="1" showErrorMessage="1" sqref="J14">
      <formula1>Drivetrains</formula1>
    </dataValidation>
    <dataValidation type="list" allowBlank="1" showInputMessage="1" showErrorMessage="1" sqref="J15">
      <formula1>Drivetrains</formula1>
    </dataValidation>
    <dataValidation type="list" allowBlank="1" showInputMessage="1" showErrorMessage="1" sqref="J16">
      <formula1>Drivetrains</formula1>
    </dataValidation>
    <dataValidation type="list" allowBlank="1" showInputMessage="1" showErrorMessage="1" sqref="J17">
      <formula1>Drivetrains</formula1>
    </dataValidation>
    <dataValidation type="list" allowBlank="1" showInputMessage="1" showErrorMessage="1" sqref="J18">
      <formula1>Drivetrains</formula1>
    </dataValidation>
    <dataValidation type="list" allowBlank="1" showInputMessage="1" showErrorMessage="1" sqref="J19">
      <formula1>Drivetrains</formula1>
    </dataValidation>
    <dataValidation type="list" allowBlank="1" showInputMessage="1" showErrorMessage="1" sqref="J20">
      <formula1>Drivetrains</formula1>
    </dataValidation>
    <dataValidation type="list" allowBlank="1" showInputMessage="1" showErrorMessage="1" sqref="J21">
      <formula1>Drivetrains</formula1>
    </dataValidation>
    <dataValidation type="list" allowBlank="1" showInputMessage="1" showErrorMessage="1" sqref="J22">
      <formula1>Drivetrains</formula1>
    </dataValidation>
    <dataValidation type="list" allowBlank="1" showInputMessage="1" showErrorMessage="1" sqref="J23">
      <formula1>Drivetrains</formula1>
    </dataValidation>
    <dataValidation type="list" allowBlank="1" showInputMessage="1" showErrorMessage="1" sqref="J24">
      <formula1>Drivetrains</formula1>
    </dataValidation>
    <dataValidation type="list" allowBlank="1" showInputMessage="1" showErrorMessage="1" sqref="J25">
      <formula1>Drivetrains</formula1>
    </dataValidation>
    <dataValidation type="list" allowBlank="1" showInputMessage="1" showErrorMessage="1" sqref="J26">
      <formula1>Drivetrains</formula1>
    </dataValidation>
    <dataValidation type="list" allowBlank="1" showInputMessage="1" showErrorMessage="1" sqref="J27">
      <formula1>Drivetrains</formula1>
    </dataValidation>
    <dataValidation type="list" allowBlank="1" showInputMessage="1" showErrorMessage="1" sqref="J28">
      <formula1>Drivetrains</formula1>
    </dataValidation>
    <dataValidation type="list" allowBlank="1" showInputMessage="1" showErrorMessage="1" sqref="J29">
      <formula1>Drivetrains</formula1>
    </dataValidation>
    <dataValidation type="list" allowBlank="1" showInputMessage="1" showErrorMessage="1" sqref="J30">
      <formula1>Drivetrains</formula1>
    </dataValidation>
    <dataValidation type="list" allowBlank="1" showInputMessage="1" showErrorMessage="1" sqref="J31">
      <formula1>Drivetrains</formula1>
    </dataValidation>
    <dataValidation type="list" allowBlank="1" showInputMessage="1" showErrorMessage="1" sqref="J32">
      <formula1>Drivetrains</formula1>
    </dataValidation>
    <dataValidation type="list" allowBlank="1" showInputMessage="1" showErrorMessage="1" sqref="J33">
      <formula1>Drivetrains</formula1>
    </dataValidation>
    <dataValidation type="list" allowBlank="1" showInputMessage="1" showErrorMessage="1" sqref="J34">
      <formula1>Drivetrains</formula1>
    </dataValidation>
    <dataValidation type="list" allowBlank="1" showInputMessage="1" showErrorMessage="1" sqref="J35">
      <formula1>Drivetrains</formula1>
    </dataValidation>
    <dataValidation type="list" allowBlank="1" showInputMessage="1" showErrorMessage="1" sqref="J36">
      <formula1>Drivetrains</formula1>
    </dataValidation>
    <dataValidation type="list" allowBlank="1" showInputMessage="1" showErrorMessage="1" sqref="J37">
      <formula1>Drivetrains</formula1>
    </dataValidation>
    <dataValidation type="list" allowBlank="1" showInputMessage="1" showErrorMessage="1" sqref="J38">
      <formula1>Drivetrains</formula1>
    </dataValidation>
    <dataValidation type="list" allowBlank="1" showInputMessage="1" showErrorMessage="1" sqref="J39">
      <formula1>Drivetrains</formula1>
    </dataValidation>
    <dataValidation type="list" allowBlank="1" showInputMessage="1" showErrorMessage="1" sqref="J40">
      <formula1>Drivetrains</formula1>
    </dataValidation>
    <dataValidation type="list" allowBlank="1" showInputMessage="1" showErrorMessage="1" sqref="J41">
      <formula1>Drivetrains</formula1>
    </dataValidation>
    <dataValidation type="list" allowBlank="1" showInputMessage="1" showErrorMessage="1" sqref="J42">
      <formula1>Drivetrains</formula1>
    </dataValidation>
    <dataValidation type="list" allowBlank="1" showInputMessage="1" showErrorMessage="1" sqref="J43">
      <formula1>Drivetrains</formula1>
    </dataValidation>
    <dataValidation type="list" allowBlank="1" showInputMessage="1" showErrorMessage="1" sqref="J44">
      <formula1>Drivetrains</formula1>
    </dataValidation>
    <dataValidation type="list" allowBlank="1" showInputMessage="1" showErrorMessage="1" sqref="J45">
      <formula1>Drivetrains</formula1>
    </dataValidation>
    <dataValidation type="list" allowBlank="1" showInputMessage="1" showErrorMessage="1" sqref="J46">
      <formula1>Drivetrains</formula1>
    </dataValidation>
    <dataValidation type="list" allowBlank="1" showInputMessage="1" showErrorMessage="1" sqref="J47">
      <formula1>Drivetrains</formula1>
    </dataValidation>
    <dataValidation type="list" allowBlank="1" showInputMessage="1" showErrorMessage="1" sqref="J48">
      <formula1>Drivetrains</formula1>
    </dataValidation>
    <dataValidation type="list" allowBlank="1" showInputMessage="1" showErrorMessage="1" sqref="J49">
      <formula1>Drivetrains</formula1>
    </dataValidation>
    <dataValidation type="list" allowBlank="1" showInputMessage="1" showErrorMessage="1" sqref="J50">
      <formula1>Drivetrains</formula1>
    </dataValidation>
    <dataValidation type="list" allowBlank="1" showInputMessage="1" showErrorMessage="1" sqref="J51">
      <formula1>Drivetrains</formula1>
    </dataValidation>
    <dataValidation type="list" allowBlank="1" showInputMessage="1" showErrorMessage="1" sqref="J52">
      <formula1>Drivetrains</formula1>
    </dataValidation>
    <dataValidation type="list" allowBlank="1" showInputMessage="1" showErrorMessage="1" sqref="J53">
      <formula1>Drivetrains</formula1>
    </dataValidation>
    <dataValidation type="list" allowBlank="1" showInputMessage="1" showErrorMessage="1" sqref="J54">
      <formula1>Drivetrains</formula1>
    </dataValidation>
    <dataValidation type="list" allowBlank="1" showInputMessage="1" showErrorMessage="1" sqref="J55">
      <formula1>Drivetrains</formula1>
    </dataValidation>
    <dataValidation type="list" allowBlank="1" showInputMessage="1" showErrorMessage="1" sqref="J56">
      <formula1>Drivetrains</formula1>
    </dataValidation>
    <dataValidation type="list" allowBlank="1" showInputMessage="1" showErrorMessage="1" sqref="J57">
      <formula1>Drivetrains</formula1>
    </dataValidation>
    <dataValidation type="list" allowBlank="1" showInputMessage="1" showErrorMessage="1" sqref="J58">
      <formula1>Drivetrains</formula1>
    </dataValidation>
    <dataValidation type="list" allowBlank="1" showInputMessage="1" showErrorMessage="1" sqref="J59">
      <formula1>Drivetrains</formula1>
    </dataValidation>
    <dataValidation type="list" allowBlank="1" showInputMessage="1" showErrorMessage="1" sqref="J60">
      <formula1>Drivetrains</formula1>
    </dataValidation>
    <dataValidation type="list" allowBlank="1" showInputMessage="1" showErrorMessage="1" sqref="J61">
      <formula1>Drivetrains</formula1>
    </dataValidation>
    <dataValidation type="list" allowBlank="1" showInputMessage="1" showErrorMessage="1" sqref="J62">
      <formula1>Drivetrains</formula1>
    </dataValidation>
    <dataValidation type="list" allowBlank="1" showInputMessage="1" showErrorMessage="1" sqref="J63">
      <formula1>Drivetrains</formula1>
    </dataValidation>
    <dataValidation type="list" allowBlank="1" showInputMessage="1" showErrorMessage="1" sqref="J64">
      <formula1>Drivetrains</formula1>
    </dataValidation>
    <dataValidation type="list" allowBlank="1" showInputMessage="1" showErrorMessage="1" sqref="J65">
      <formula1>Drivetrains</formula1>
    </dataValidation>
    <dataValidation type="list" allowBlank="1" showInputMessage="1" showErrorMessage="1" sqref="J66">
      <formula1>Drivetrains</formula1>
    </dataValidation>
    <dataValidation type="list" allowBlank="1" showInputMessage="1" showErrorMessage="1" sqref="J67">
      <formula1>Drivetrains</formula1>
    </dataValidation>
    <dataValidation type="list" allowBlank="1" showInputMessage="1" showErrorMessage="1" sqref="J68">
      <formula1>Drivetrains</formula1>
    </dataValidation>
    <dataValidation type="list" allowBlank="1" showInputMessage="1" showErrorMessage="1" sqref="J69">
      <formula1>Drivetrains</formula1>
    </dataValidation>
    <dataValidation type="list" allowBlank="1" showInputMessage="1" showErrorMessage="1" sqref="J70">
      <formula1>Drivetrains</formula1>
    </dataValidation>
    <dataValidation type="list" allowBlank="1" showInputMessage="1" showErrorMessage="1" sqref="J71">
      <formula1>Drivetrains</formula1>
    </dataValidation>
    <dataValidation type="list" allowBlank="1" showInputMessage="1" showErrorMessage="1" sqref="J72">
      <formula1>Drivetrains</formula1>
    </dataValidation>
    <dataValidation type="list" allowBlank="1" showInputMessage="1" showErrorMessage="1" sqref="J73">
      <formula1>Drivetrains</formula1>
    </dataValidation>
    <dataValidation type="list" allowBlank="1" showInputMessage="1" showErrorMessage="1" sqref="J74">
      <formula1>Drivetrains</formula1>
    </dataValidation>
    <dataValidation type="list" allowBlank="1" showInputMessage="1" showErrorMessage="1" sqref="J75">
      <formula1>Drivetrains</formula1>
    </dataValidation>
    <dataValidation type="list" allowBlank="1" showInputMessage="1" showErrorMessage="1" sqref="J76">
      <formula1>Drivetrains</formula1>
    </dataValidation>
    <dataValidation type="list" allowBlank="1" showInputMessage="1" showErrorMessage="1" sqref="J77">
      <formula1>Drivetrains</formula1>
    </dataValidation>
    <dataValidation type="list" allowBlank="1" showInputMessage="1" showErrorMessage="1" sqref="J78">
      <formula1>Drivetrains</formula1>
    </dataValidation>
    <dataValidation type="list" allowBlank="1" showInputMessage="1" showErrorMessage="1" sqref="J79">
      <formula1>Drivetrains</formula1>
    </dataValidation>
    <dataValidation type="list" allowBlank="1" showInputMessage="1" showErrorMessage="1" sqref="J80">
      <formula1>Drivetrains</formula1>
    </dataValidation>
    <dataValidation type="list" allowBlank="1" showInputMessage="1" showErrorMessage="1" sqref="J81">
      <formula1>Drivetrains</formula1>
    </dataValidation>
    <dataValidation type="list" allowBlank="1" showInputMessage="1" showErrorMessage="1" sqref="J82">
      <formula1>Drivetrains</formula1>
    </dataValidation>
    <dataValidation type="list" allowBlank="1" showInputMessage="1" showErrorMessage="1" sqref="J83">
      <formula1>Drivetrains</formula1>
    </dataValidation>
    <dataValidation type="list" allowBlank="1" showInputMessage="1" showErrorMessage="1" sqref="J84">
      <formula1>Drivetrains</formula1>
    </dataValidation>
    <dataValidation type="list" allowBlank="1" showInputMessage="1" showErrorMessage="1" sqref="J85">
      <formula1>Drivetrains</formula1>
    </dataValidation>
    <dataValidation type="list" allowBlank="1" showInputMessage="1" showErrorMessage="1" sqref="J86">
      <formula1>Drivetrains</formula1>
    </dataValidation>
    <dataValidation type="list" allowBlank="1" showInputMessage="1" showErrorMessage="1" sqref="J87">
      <formula1>Drivetrains</formula1>
    </dataValidation>
    <dataValidation type="list" allowBlank="1" showInputMessage="1" showErrorMessage="1" sqref="J88">
      <formula1>Drivetrains</formula1>
    </dataValidation>
    <dataValidation type="list" allowBlank="1" showInputMessage="1" showErrorMessage="1" sqref="J89">
      <formula1>Drivetrains</formula1>
    </dataValidation>
    <dataValidation type="list" allowBlank="1" showInputMessage="1" showErrorMessage="1" sqref="J90">
      <formula1>Drivetrains</formula1>
    </dataValidation>
    <dataValidation type="list" allowBlank="1" showInputMessage="1" showErrorMessage="1" sqref="J91">
      <formula1>Drivetrains</formula1>
    </dataValidation>
    <dataValidation type="list" allowBlank="1" showInputMessage="1" showErrorMessage="1" sqref="J92">
      <formula1>Drivetrains</formula1>
    </dataValidation>
    <dataValidation type="list" allowBlank="1" showInputMessage="1" showErrorMessage="1" sqref="J93">
      <formula1>Drivetrains</formula1>
    </dataValidation>
    <dataValidation type="list" allowBlank="1" showInputMessage="1" showErrorMessage="1" sqref="J94">
      <formula1>Drivetrains</formula1>
    </dataValidation>
    <dataValidation type="list" allowBlank="1" showInputMessage="1" showErrorMessage="1" sqref="J95">
      <formula1>Drivetrains</formula1>
    </dataValidation>
    <dataValidation type="list" allowBlank="1" showInputMessage="1" showErrorMessage="1" sqref="J96">
      <formula1>Drivetrains</formula1>
    </dataValidation>
    <dataValidation type="list" allowBlank="1" showInputMessage="1" showErrorMessage="1" sqref="J97">
      <formula1>Drivetrains</formula1>
    </dataValidation>
    <dataValidation type="list" allowBlank="1" showInputMessage="1" showErrorMessage="1" sqref="J98">
      <formula1>Drivetrains</formula1>
    </dataValidation>
    <dataValidation type="list" allowBlank="1" showInputMessage="1" showErrorMessage="1" sqref="J99">
      <formula1>Drivetrains</formula1>
    </dataValidation>
    <dataValidation type="list" allowBlank="1" showInputMessage="1" showErrorMessage="1" sqref="J100">
      <formula1>Drivetrains</formula1>
    </dataValidation>
    <dataValidation type="list" allowBlank="1" showInputMessage="1" showErrorMessage="1" sqref="J101">
      <formula1>Drivetrains</formula1>
    </dataValidation>
    <dataValidation type="list" allowBlank="1" showInputMessage="1" showErrorMessage="1" sqref="J102">
      <formula1>Drivetrains</formula1>
    </dataValidation>
    <dataValidation type="list" allowBlank="1" showInputMessage="1" showErrorMessage="1" sqref="J103">
      <formula1>Drivetrains</formula1>
    </dataValidation>
    <dataValidation type="list" allowBlank="1" showInputMessage="1" showErrorMessage="1" sqref="J104">
      <formula1>Drivetrains</formula1>
    </dataValidation>
    <dataValidation type="list" allowBlank="1" showInputMessage="1" showErrorMessage="1" sqref="J105">
      <formula1>Drivetrains</formula1>
    </dataValidation>
    <dataValidation type="list" allowBlank="1" showInputMessage="1" showErrorMessage="1" sqref="J106">
      <formula1>Drivetrains</formula1>
    </dataValidation>
    <dataValidation type="list" allowBlank="1" showInputMessage="1" showErrorMessage="1" sqref="J107">
      <formula1>Drivetrains</formula1>
    </dataValidation>
    <dataValidation type="list" allowBlank="1" showInputMessage="1" showErrorMessage="1" sqref="J108">
      <formula1>Drivetrains</formula1>
    </dataValidation>
    <dataValidation type="list" allowBlank="1" showInputMessage="1" showErrorMessage="1" sqref="J109">
      <formula1>Drivetrains</formula1>
    </dataValidation>
    <dataValidation type="list" allowBlank="1" showInputMessage="1" showErrorMessage="1" sqref="J110">
      <formula1>Drivetrains</formula1>
    </dataValidation>
    <dataValidation type="list" allowBlank="1" showInputMessage="1" showErrorMessage="1" sqref="J111">
      <formula1>Drivetrains</formula1>
    </dataValidation>
    <dataValidation type="list" allowBlank="1" showInputMessage="1" showErrorMessage="1" sqref="J112">
      <formula1>Drivetrains</formula1>
    </dataValidation>
    <dataValidation type="list" allowBlank="1" showInputMessage="1" showErrorMessage="1" sqref="J113">
      <formula1>Drivetrains</formula1>
    </dataValidation>
    <dataValidation type="list" allowBlank="1" showInputMessage="1" showErrorMessage="1" sqref="J114">
      <formula1>Drivetrains</formula1>
    </dataValidation>
    <dataValidation type="list" allowBlank="1" showInputMessage="1" showErrorMessage="1" sqref="J115">
      <formula1>Drivetrains</formula1>
    </dataValidation>
    <dataValidation type="list" allowBlank="1" showInputMessage="1" showErrorMessage="1" sqref="J116">
      <formula1>Drivetrains</formula1>
    </dataValidation>
    <dataValidation type="list" allowBlank="1" showInputMessage="1" showErrorMessage="1" sqref="J117">
      <formula1>Drivetrains</formula1>
    </dataValidation>
    <dataValidation type="list" allowBlank="1" showInputMessage="1" showErrorMessage="1" sqref="J118">
      <formula1>Drivetrains</formula1>
    </dataValidation>
    <dataValidation type="list" allowBlank="1" showInputMessage="1" showErrorMessage="1" sqref="J119">
      <formula1>Drivetrains</formula1>
    </dataValidation>
    <dataValidation type="list" allowBlank="1" showInputMessage="1" showErrorMessage="1" sqref="J120">
      <formula1>Drivetrains</formula1>
    </dataValidation>
    <dataValidation type="list" allowBlank="1" showInputMessage="1" showErrorMessage="1" sqref="J121">
      <formula1>Drivetrains</formula1>
    </dataValidation>
    <dataValidation type="list" allowBlank="1" showInputMessage="1" showErrorMessage="1" sqref="J122">
      <formula1>Drivetrains</formula1>
    </dataValidation>
    <dataValidation type="list" allowBlank="1" showInputMessage="1" showErrorMessage="1" sqref="J123">
      <formula1>Drivetrains</formula1>
    </dataValidation>
    <dataValidation type="list" allowBlank="1" showInputMessage="1" showErrorMessage="1" sqref="J124">
      <formula1>Drivetrains</formula1>
    </dataValidation>
    <dataValidation type="list" allowBlank="1" showInputMessage="1" showErrorMessage="1" sqref="J125">
      <formula1>Drivetrains</formula1>
    </dataValidation>
    <dataValidation type="list" allowBlank="1" showInputMessage="1" showErrorMessage="1" sqref="J126">
      <formula1>Drivetrains</formula1>
    </dataValidation>
    <dataValidation type="list" allowBlank="1" showInputMessage="1" showErrorMessage="1" sqref="J127">
      <formula1>Drivetrains</formula1>
    </dataValidation>
    <dataValidation type="list" allowBlank="1" showInputMessage="1" showErrorMessage="1" sqref="J128">
      <formula1>Drivetrains</formula1>
    </dataValidation>
    <dataValidation type="list" allowBlank="1" showInputMessage="1" showErrorMessage="1" sqref="J129">
      <formula1>Drivetrains</formula1>
    </dataValidation>
    <dataValidation type="list" allowBlank="1" showInputMessage="1" showErrorMessage="1" sqref="J130">
      <formula1>Drivetrains</formula1>
    </dataValidation>
    <dataValidation type="list" allowBlank="1" showInputMessage="1" showErrorMessage="1" sqref="J131">
      <formula1>Drivetrains</formula1>
    </dataValidation>
    <dataValidation type="list" allowBlank="1" showInputMessage="1" showErrorMessage="1" sqref="J132">
      <formula1>Drivetrains</formula1>
    </dataValidation>
    <dataValidation type="list" allowBlank="1" showInputMessage="1" showErrorMessage="1" sqref="J133">
      <formula1>Drivetrains</formula1>
    </dataValidation>
    <dataValidation type="list" allowBlank="1" showInputMessage="1" showErrorMessage="1" sqref="J134">
      <formula1>Drivetrains</formula1>
    </dataValidation>
    <dataValidation type="list" allowBlank="1" showInputMessage="1" showErrorMessage="1" sqref="J135">
      <formula1>Drivetrains</formula1>
    </dataValidation>
    <dataValidation type="list" allowBlank="1" showInputMessage="1" showErrorMessage="1" sqref="J136">
      <formula1>Drivetrains</formula1>
    </dataValidation>
    <dataValidation type="list" allowBlank="1" showInputMessage="1" showErrorMessage="1" sqref="J137">
      <formula1>Drivetrains</formula1>
    </dataValidation>
    <dataValidation type="list" allowBlank="1" showInputMessage="1" showErrorMessage="1" sqref="J138">
      <formula1>Drivetrains</formula1>
    </dataValidation>
    <dataValidation type="list" allowBlank="1" showInputMessage="1" showErrorMessage="1" sqref="J139">
      <formula1>Drivetrains</formula1>
    </dataValidation>
    <dataValidation type="list" allowBlank="1" showInputMessage="1" showErrorMessage="1" sqref="J140">
      <formula1>Drivetrains</formula1>
    </dataValidation>
    <dataValidation type="list" allowBlank="1" showInputMessage="1" showErrorMessage="1" sqref="J141">
      <formula1>Drivetrains</formula1>
    </dataValidation>
    <dataValidation type="list" allowBlank="1" showInputMessage="1" showErrorMessage="1" sqref="J142">
      <formula1>Drivetrains</formula1>
    </dataValidation>
    <dataValidation type="list" allowBlank="1" showInputMessage="1" showErrorMessage="1" sqref="J143">
      <formula1>Drivetrains</formula1>
    </dataValidation>
    <dataValidation type="list" allowBlank="1" showInputMessage="1" showErrorMessage="1" sqref="J144">
      <formula1>Drivetrains</formula1>
    </dataValidation>
    <dataValidation type="list" allowBlank="1" showInputMessage="1" showErrorMessage="1" sqref="J145">
      <formula1>Drivetrains</formula1>
    </dataValidation>
    <dataValidation type="list" allowBlank="1" showInputMessage="1" showErrorMessage="1" sqref="J146">
      <formula1>Drivetrains</formula1>
    </dataValidation>
    <dataValidation type="list" allowBlank="1" showInputMessage="1" showErrorMessage="1" sqref="J147">
      <formula1>Drivetrains</formula1>
    </dataValidation>
    <dataValidation type="list" allowBlank="1" showInputMessage="1" showErrorMessage="1" sqref="J148">
      <formula1>Drivetrains</formula1>
    </dataValidation>
    <dataValidation type="list" allowBlank="1" showInputMessage="1" showErrorMessage="1" sqref="J149">
      <formula1>Drivetrains</formula1>
    </dataValidation>
    <dataValidation type="list" allowBlank="1" showInputMessage="1" showErrorMessage="1" sqref="J150">
      <formula1>Drivetrains</formula1>
    </dataValidation>
    <dataValidation type="list" allowBlank="1" showInputMessage="1" showErrorMessage="1" sqref="J151">
      <formula1>Drivetrains</formula1>
    </dataValidation>
    <dataValidation type="list" allowBlank="1" showInputMessage="1" showErrorMessage="1" sqref="J152">
      <formula1>Drivetrains</formula1>
    </dataValidation>
    <dataValidation type="list" allowBlank="1" showInputMessage="1" showErrorMessage="1" sqref="J153">
      <formula1>Drivetrains</formula1>
    </dataValidation>
    <dataValidation type="list" allowBlank="1" showInputMessage="1" showErrorMessage="1" sqref="J154">
      <formula1>Drivetrains</formula1>
    </dataValidation>
    <dataValidation type="list" allowBlank="1" showInputMessage="1" showErrorMessage="1" sqref="J155">
      <formula1>Drivetrains</formula1>
    </dataValidation>
    <dataValidation type="list" allowBlank="1" showInputMessage="1" showErrorMessage="1" sqref="J156">
      <formula1>Drivetrains</formula1>
    </dataValidation>
    <dataValidation type="list" allowBlank="1" showInputMessage="1" showErrorMessage="1" sqref="J157">
      <formula1>Drivetrains</formula1>
    </dataValidation>
    <dataValidation type="list" allowBlank="1" showInputMessage="1" showErrorMessage="1" sqref="J158">
      <formula1>Drivetrains</formula1>
    </dataValidation>
    <dataValidation type="list" allowBlank="1" showInputMessage="1" showErrorMessage="1" sqref="J159">
      <formula1>Drivetrains</formula1>
    </dataValidation>
    <dataValidation type="list" allowBlank="1" showInputMessage="1" showErrorMessage="1" sqref="J160">
      <formula1>Drivetrains</formula1>
    </dataValidation>
    <dataValidation type="list" allowBlank="1" showInputMessage="1" showErrorMessage="1" sqref="J161">
      <formula1>Drivetrains</formula1>
    </dataValidation>
    <dataValidation type="list" allowBlank="1" showInputMessage="1" showErrorMessage="1" sqref="J162">
      <formula1>Drivetrains</formula1>
    </dataValidation>
    <dataValidation type="list" allowBlank="1" showInputMessage="1" showErrorMessage="1" sqref="J163">
      <formula1>Drivetrains</formula1>
    </dataValidation>
    <dataValidation type="list" allowBlank="1" showInputMessage="1" showErrorMessage="1" sqref="J164">
      <formula1>Drivetrains</formula1>
    </dataValidation>
    <dataValidation type="list" allowBlank="1" showInputMessage="1" showErrorMessage="1" sqref="J165">
      <formula1>Drivetrains</formula1>
    </dataValidation>
    <dataValidation type="list" allowBlank="1" showInputMessage="1" showErrorMessage="1" sqref="J166">
      <formula1>Drivetrains</formula1>
    </dataValidation>
    <dataValidation type="list" allowBlank="1" showInputMessage="1" showErrorMessage="1" sqref="J167">
      <formula1>Drivetrains</formula1>
    </dataValidation>
    <dataValidation type="list" allowBlank="1" showInputMessage="1" showErrorMessage="1" sqref="J168">
      <formula1>Drivetrains</formula1>
    </dataValidation>
    <dataValidation type="list" allowBlank="1" showInputMessage="1" showErrorMessage="1" sqref="J169">
      <formula1>Drivetrains</formula1>
    </dataValidation>
    <dataValidation type="list" allowBlank="1" showInputMessage="1" showErrorMessage="1" sqref="J170">
      <formula1>Drivetrains</formula1>
    </dataValidation>
    <dataValidation type="list" allowBlank="1" showInputMessage="1" showErrorMessage="1" sqref="J171">
      <formula1>Drivetrains</formula1>
    </dataValidation>
    <dataValidation type="list" allowBlank="1" showInputMessage="1" showErrorMessage="1" sqref="J172">
      <formula1>Drivetrains</formula1>
    </dataValidation>
    <dataValidation type="list" allowBlank="1" showInputMessage="1" showErrorMessage="1" sqref="J173">
      <formula1>Drivetrains</formula1>
    </dataValidation>
    <dataValidation type="list" allowBlank="1" showInputMessage="1" showErrorMessage="1" sqref="J174">
      <formula1>Drivetrains</formula1>
    </dataValidation>
    <dataValidation type="list" allowBlank="1" showInputMessage="1" showErrorMessage="1" sqref="J175">
      <formula1>Drivetrains</formula1>
    </dataValidation>
    <dataValidation type="list" allowBlank="1" showInputMessage="1" showErrorMessage="1" sqref="J176">
      <formula1>Drivetrains</formula1>
    </dataValidation>
    <dataValidation type="list" allowBlank="1" showInputMessage="1" showErrorMessage="1" sqref="J177">
      <formula1>Drivetrains</formula1>
    </dataValidation>
    <dataValidation type="list" allowBlank="1" showInputMessage="1" showErrorMessage="1" sqref="J178">
      <formula1>Drivetrains</formula1>
    </dataValidation>
    <dataValidation type="list" allowBlank="1" showInputMessage="1" showErrorMessage="1" sqref="J179">
      <formula1>Drivetrains</formula1>
    </dataValidation>
    <dataValidation type="list" allowBlank="1" showInputMessage="1" showErrorMessage="1" sqref="J180">
      <formula1>Drivetrains</formula1>
    </dataValidation>
    <dataValidation type="list" allowBlank="1" showInputMessage="1" showErrorMessage="1" sqref="J181">
      <formula1>Drivetrains</formula1>
    </dataValidation>
    <dataValidation type="list" allowBlank="1" showInputMessage="1" showErrorMessage="1" sqref="J182">
      <formula1>Drivetrains</formula1>
    </dataValidation>
    <dataValidation type="list" allowBlank="1" showInputMessage="1" showErrorMessage="1" sqref="J183">
      <formula1>Drivetrains</formula1>
    </dataValidation>
    <dataValidation type="list" allowBlank="1" showInputMessage="1" showErrorMessage="1" sqref="J184">
      <formula1>Drivetrains</formula1>
    </dataValidation>
    <dataValidation type="list" allowBlank="1" showInputMessage="1" showErrorMessage="1" sqref="J185">
      <formula1>Drivetrains</formula1>
    </dataValidation>
    <dataValidation type="list" allowBlank="1" showInputMessage="1" showErrorMessage="1" sqref="J186">
      <formula1>Drivetrains</formula1>
    </dataValidation>
    <dataValidation type="list" allowBlank="1" showInputMessage="1" showErrorMessage="1" sqref="J187">
      <formula1>Drivetrains</formula1>
    </dataValidation>
    <dataValidation type="list" allowBlank="1" showInputMessage="1" showErrorMessage="1" sqref="J188">
      <formula1>Drivetrains</formula1>
    </dataValidation>
    <dataValidation type="list" allowBlank="1" showInputMessage="1" showErrorMessage="1" sqref="J189">
      <formula1>Drivetrains</formula1>
    </dataValidation>
    <dataValidation type="list" allowBlank="1" showInputMessage="1" showErrorMessage="1" sqref="J190">
      <formula1>Drivetrains</formula1>
    </dataValidation>
    <dataValidation type="list" allowBlank="1" showInputMessage="1" showErrorMessage="1" sqref="J191">
      <formula1>Drivetrains</formula1>
    </dataValidation>
    <dataValidation type="list" allowBlank="1" showInputMessage="1" showErrorMessage="1" sqref="J192">
      <formula1>Drivetrains</formula1>
    </dataValidation>
    <dataValidation type="list" allowBlank="1" showInputMessage="1" showErrorMessage="1" sqref="J193">
      <formula1>Drivetrains</formula1>
    </dataValidation>
    <dataValidation type="list" allowBlank="1" showInputMessage="1" showErrorMessage="1" sqref="J194">
      <formula1>Drivetrains</formula1>
    </dataValidation>
    <dataValidation type="list" allowBlank="1" showInputMessage="1" showErrorMessage="1" sqref="J195">
      <formula1>Drivetrains</formula1>
    </dataValidation>
    <dataValidation type="list" allowBlank="1" showInputMessage="1" showErrorMessage="1" sqref="J196">
      <formula1>Drivetrains</formula1>
    </dataValidation>
    <dataValidation type="list" allowBlank="1" showInputMessage="1" showErrorMessage="1" sqref="J197">
      <formula1>Drivetrains</formula1>
    </dataValidation>
    <dataValidation type="list" allowBlank="1" showInputMessage="1" showErrorMessage="1" sqref="J198">
      <formula1>Drivetrains</formula1>
    </dataValidation>
    <dataValidation type="list" allowBlank="1" showInputMessage="1" showErrorMessage="1" sqref="J199">
      <formula1>Drivetrains</formula1>
    </dataValidation>
    <dataValidation type="list" allowBlank="1" showInputMessage="1" showErrorMessage="1" sqref="J200">
      <formula1>Drivetrains</formula1>
    </dataValidation>
    <dataValidation type="list" allowBlank="1" showInputMessage="1" showErrorMessage="1" sqref="J201">
      <formula1>Drivetrains</formula1>
    </dataValidation>
    <dataValidation type="list" allowBlank="1" showInputMessage="1" showErrorMessage="1" sqref="J202">
      <formula1>Drivetrains</formula1>
    </dataValidation>
    <dataValidation type="list" allowBlank="1" showInputMessage="1" showErrorMessage="1" sqref="J203">
      <formula1>Drivetrains</formula1>
    </dataValidation>
    <dataValidation type="list" allowBlank="1" showInputMessage="1" showErrorMessage="1" sqref="J204">
      <formula1>Drivetrains</formula1>
    </dataValidation>
    <dataValidation type="list" allowBlank="1" showInputMessage="1" showErrorMessage="1" sqref="J205">
      <formula1>Drivetrains</formula1>
    </dataValidation>
    <dataValidation type="list" allowBlank="1" showInputMessage="1" showErrorMessage="1" sqref="J206">
      <formula1>Drivetrains</formula1>
    </dataValidation>
    <dataValidation type="list" allowBlank="1" showInputMessage="1" showErrorMessage="1" sqref="J207">
      <formula1>Drivetrains</formula1>
    </dataValidation>
    <dataValidation type="list" allowBlank="1" showInputMessage="1" showErrorMessage="1" sqref="J208">
      <formula1>Drivetrains</formula1>
    </dataValidation>
    <dataValidation type="list" allowBlank="1" showInputMessage="1" showErrorMessage="1" sqref="J209">
      <formula1>Drivetrains</formula1>
    </dataValidation>
    <dataValidation type="list" allowBlank="1" showInputMessage="1" showErrorMessage="1" sqref="J210">
      <formula1>Drivetrains</formula1>
    </dataValidation>
    <dataValidation type="list" allowBlank="1" showInputMessage="1" showErrorMessage="1" sqref="J211">
      <formula1>Drivetrains</formula1>
    </dataValidation>
    <dataValidation type="list" allowBlank="1" showInputMessage="1" showErrorMessage="1" sqref="J212">
      <formula1>Drivetrains</formula1>
    </dataValidation>
    <dataValidation type="list" allowBlank="1" showInputMessage="1" showErrorMessage="1" sqref="J213">
      <formula1>Drivetrains</formula1>
    </dataValidation>
    <dataValidation type="list" allowBlank="1" showInputMessage="1" showErrorMessage="1" sqref="J214">
      <formula1>Drivetrains</formula1>
    </dataValidation>
    <dataValidation type="list" allowBlank="1" showInputMessage="1" showErrorMessage="1" sqref="J215">
      <formula1>Drivetrains</formula1>
    </dataValidation>
    <dataValidation type="list" allowBlank="1" showInputMessage="1" showErrorMessage="1" sqref="J216">
      <formula1>Drivetrains</formula1>
    </dataValidation>
    <dataValidation type="list" allowBlank="1" showInputMessage="1" showErrorMessage="1" sqref="J217">
      <formula1>Drivetrains</formula1>
    </dataValidation>
    <dataValidation type="list" allowBlank="1" showInputMessage="1" showErrorMessage="1" sqref="J218">
      <formula1>Drivetrains</formula1>
    </dataValidation>
    <dataValidation type="list" allowBlank="1" showInputMessage="1" showErrorMessage="1" sqref="J219">
      <formula1>Drivetrains</formula1>
    </dataValidation>
    <dataValidation type="list" allowBlank="1" showInputMessage="1" showErrorMessage="1" sqref="J220">
      <formula1>Drivetrains</formula1>
    </dataValidation>
    <dataValidation type="list" allowBlank="1" showInputMessage="1" showErrorMessage="1" sqref="J221">
      <formula1>Drivetrains</formula1>
    </dataValidation>
    <dataValidation type="list" allowBlank="1" showInputMessage="1" showErrorMessage="1" sqref="J222">
      <formula1>Drivetrains</formula1>
    </dataValidation>
    <dataValidation type="list" allowBlank="1" showInputMessage="1" showErrorMessage="1" sqref="J223">
      <formula1>Drivetrains</formula1>
    </dataValidation>
    <dataValidation type="list" allowBlank="1" showInputMessage="1" showErrorMessage="1" sqref="J224">
      <formula1>Drivetrains</formula1>
    </dataValidation>
    <dataValidation type="list" allowBlank="1" showInputMessage="1" showErrorMessage="1" sqref="J225">
      <formula1>Drivetrains</formula1>
    </dataValidation>
    <dataValidation type="list" allowBlank="1" showInputMessage="1" showErrorMessage="1" sqref="J226">
      <formula1>Drivetrains</formula1>
    </dataValidation>
    <dataValidation type="list" allowBlank="1" showInputMessage="1" showErrorMessage="1" sqref="J227">
      <formula1>Drivetrains</formula1>
    </dataValidation>
    <dataValidation type="list" allowBlank="1" showInputMessage="1" showErrorMessage="1" sqref="J228">
      <formula1>Drivetrains</formula1>
    </dataValidation>
    <dataValidation type="list" allowBlank="1" showInputMessage="1" showErrorMessage="1" sqref="J229">
      <formula1>Drivetrains</formula1>
    </dataValidation>
    <dataValidation type="list" allowBlank="1" showInputMessage="1" showErrorMessage="1" sqref="J230">
      <formula1>Drivetrains</formula1>
    </dataValidation>
    <dataValidation type="list" allowBlank="1" showInputMessage="1" showErrorMessage="1" sqref="J231">
      <formula1>Drivetrains</formula1>
    </dataValidation>
    <dataValidation type="list" allowBlank="1" showInputMessage="1" showErrorMessage="1" sqref="J232">
      <formula1>Drivetrains</formula1>
    </dataValidation>
    <dataValidation type="list" allowBlank="1" showInputMessage="1" showErrorMessage="1" sqref="J233">
      <formula1>Drivetrains</formula1>
    </dataValidation>
    <dataValidation type="list" allowBlank="1" showInputMessage="1" showErrorMessage="1" sqref="J234">
      <formula1>Drivetrains</formula1>
    </dataValidation>
    <dataValidation type="list" allowBlank="1" showInputMessage="1" showErrorMessage="1" sqref="J235">
      <formula1>Drivetrains</formula1>
    </dataValidation>
    <dataValidation type="list" allowBlank="1" showInputMessage="1" showErrorMessage="1" sqref="J236">
      <formula1>Drivetrains</formula1>
    </dataValidation>
    <dataValidation type="list" allowBlank="1" showInputMessage="1" showErrorMessage="1" sqref="J237">
      <formula1>Drivetrains</formula1>
    </dataValidation>
    <dataValidation type="list" allowBlank="1" showInputMessage="1" showErrorMessage="1" sqref="J238">
      <formula1>Drivetrains</formula1>
    </dataValidation>
    <dataValidation type="list" allowBlank="1" showInputMessage="1" showErrorMessage="1" sqref="J239">
      <formula1>Drivetrains</formula1>
    </dataValidation>
    <dataValidation type="list" allowBlank="1" showInputMessage="1" showErrorMessage="1" sqref="J240">
      <formula1>Drivetrains</formula1>
    </dataValidation>
    <dataValidation type="list" allowBlank="1" showInputMessage="1" showErrorMessage="1" sqref="J241">
      <formula1>Drivetrains</formula1>
    </dataValidation>
    <dataValidation type="list" allowBlank="1" showInputMessage="1" showErrorMessage="1" sqref="J242">
      <formula1>Drivetrains</formula1>
    </dataValidation>
    <dataValidation type="list" allowBlank="1" showInputMessage="1" showErrorMessage="1" sqref="J243">
      <formula1>Drivetrains</formula1>
    </dataValidation>
    <dataValidation type="list" allowBlank="1" showInputMessage="1" showErrorMessage="1" sqref="J244">
      <formula1>Drivetrains</formula1>
    </dataValidation>
    <dataValidation type="list" allowBlank="1" showInputMessage="1" showErrorMessage="1" sqref="J245">
      <formula1>Drivetrains</formula1>
    </dataValidation>
    <dataValidation type="list" allowBlank="1" showInputMessage="1" showErrorMessage="1" sqref="J246">
      <formula1>Drivetrains</formula1>
    </dataValidation>
    <dataValidation type="list" allowBlank="1" showInputMessage="1" showErrorMessage="1" sqref="J247">
      <formula1>Drivetrains</formula1>
    </dataValidation>
    <dataValidation type="list" allowBlank="1" showInputMessage="1" showErrorMessage="1" sqref="J248">
      <formula1>Drivetrains</formula1>
    </dataValidation>
    <dataValidation type="list" allowBlank="1" showInputMessage="1" showErrorMessage="1" sqref="J249">
      <formula1>Drivetrains</formula1>
    </dataValidation>
    <dataValidation type="list" allowBlank="1" showInputMessage="1" showErrorMessage="1" sqref="J250">
      <formula1>Drivetrains</formula1>
    </dataValidation>
    <dataValidation type="list" allowBlank="1" showInputMessage="1" showErrorMessage="1" sqref="J251">
      <formula1>Drivetrains</formula1>
    </dataValidation>
    <dataValidation type="list" allowBlank="1" showInputMessage="1" showErrorMessage="1" sqref="J252">
      <formula1>Drivetrains</formula1>
    </dataValidation>
    <dataValidation type="list" allowBlank="1" showInputMessage="1" showErrorMessage="1" sqref="J253">
      <formula1>Drivetrains</formula1>
    </dataValidation>
    <dataValidation type="list" allowBlank="1" showInputMessage="1" showErrorMessage="1" sqref="J254">
      <formula1>Drivetrains</formula1>
    </dataValidation>
    <dataValidation type="list" allowBlank="1" showInputMessage="1" showErrorMessage="1" sqref="J255">
      <formula1>Drivetrains</formula1>
    </dataValidation>
    <dataValidation type="list" allowBlank="1" showInputMessage="1" showErrorMessage="1" sqref="J256">
      <formula1>Drivetrains</formula1>
    </dataValidation>
    <dataValidation type="list" allowBlank="1" showInputMessage="1" showErrorMessage="1" sqref="J257">
      <formula1>Drivetrains</formula1>
    </dataValidation>
    <dataValidation type="list" allowBlank="1" showInputMessage="1" showErrorMessage="1" sqref="J258">
      <formula1>Drivetrains</formula1>
    </dataValidation>
    <dataValidation type="list" allowBlank="1" showInputMessage="1" showErrorMessage="1" sqref="J259">
      <formula1>Drivetrains</formula1>
    </dataValidation>
    <dataValidation type="list" allowBlank="1" showInputMessage="1" showErrorMessage="1" sqref="J260">
      <formula1>Drivetrains</formula1>
    </dataValidation>
    <dataValidation type="list" allowBlank="1" showInputMessage="1" showErrorMessage="1" sqref="J261">
      <formula1>Drivetrains</formula1>
    </dataValidation>
    <dataValidation type="list" allowBlank="1" showInputMessage="1" showErrorMessage="1" sqref="J262">
      <formula1>Drivetrains</formula1>
    </dataValidation>
    <dataValidation type="list" allowBlank="1" showInputMessage="1" showErrorMessage="1" sqref="J263">
      <formula1>Drivetrains</formula1>
    </dataValidation>
    <dataValidation type="list" allowBlank="1" showInputMessage="1" showErrorMessage="1" sqref="J264">
      <formula1>Drivetrains</formula1>
    </dataValidation>
    <dataValidation type="list" allowBlank="1" showInputMessage="1" showErrorMessage="1" sqref="J265">
      <formula1>Drivetrains</formula1>
    </dataValidation>
    <dataValidation type="list" allowBlank="1" showInputMessage="1" showErrorMessage="1" sqref="J266">
      <formula1>Drivetrains</formula1>
    </dataValidation>
    <dataValidation type="list" allowBlank="1" showInputMessage="1" showErrorMessage="1" sqref="J267">
      <formula1>Drivetrains</formula1>
    </dataValidation>
    <dataValidation type="list" allowBlank="1" showInputMessage="1" showErrorMessage="1" sqref="J268">
      <formula1>Drivetrains</formula1>
    </dataValidation>
    <dataValidation type="list" allowBlank="1" showInputMessage="1" showErrorMessage="1" sqref="J269">
      <formula1>Drivetrains</formula1>
    </dataValidation>
    <dataValidation type="list" allowBlank="1" showInputMessage="1" showErrorMessage="1" sqref="J270">
      <formula1>Drivetrains</formula1>
    </dataValidation>
    <dataValidation type="list" allowBlank="1" showInputMessage="1" showErrorMessage="1" sqref="J271">
      <formula1>Drivetrains</formula1>
    </dataValidation>
    <dataValidation type="list" allowBlank="1" showInputMessage="1" showErrorMessage="1" sqref="J272">
      <formula1>Drivetrains</formula1>
    </dataValidation>
    <dataValidation type="list" allowBlank="1" showInputMessage="1" showErrorMessage="1" sqref="J273">
      <formula1>Drivetrains</formula1>
    </dataValidation>
    <dataValidation type="list" allowBlank="1" showInputMessage="1" showErrorMessage="1" sqref="J274">
      <formula1>Drivetrains</formula1>
    </dataValidation>
    <dataValidation type="list" allowBlank="1" showInputMessage="1" showErrorMessage="1" sqref="J275">
      <formula1>Drivetrains</formula1>
    </dataValidation>
    <dataValidation type="list" allowBlank="1" showInputMessage="1" showErrorMessage="1" sqref="J276">
      <formula1>Drivetrains</formula1>
    </dataValidation>
    <dataValidation type="list" allowBlank="1" showInputMessage="1" showErrorMessage="1" sqref="J277">
      <formula1>Drivetrains</formula1>
    </dataValidation>
    <dataValidation type="list" allowBlank="1" showInputMessage="1" showErrorMessage="1" sqref="J278">
      <formula1>Drivetrains</formula1>
    </dataValidation>
    <dataValidation type="list" allowBlank="1" showInputMessage="1" showErrorMessage="1" sqref="J279">
      <formula1>Drivetrains</formula1>
    </dataValidation>
    <dataValidation type="list" allowBlank="1" showInputMessage="1" showErrorMessage="1" sqref="J280">
      <formula1>Drivetrains</formula1>
    </dataValidation>
    <dataValidation type="list" allowBlank="1" showInputMessage="1" showErrorMessage="1" sqref="J281">
      <formula1>Drivetrains</formula1>
    </dataValidation>
    <dataValidation type="list" allowBlank="1" showInputMessage="1" showErrorMessage="1" sqref="J282">
      <formula1>Drivetrains</formula1>
    </dataValidation>
    <dataValidation type="list" allowBlank="1" showInputMessage="1" showErrorMessage="1" sqref="J283">
      <formula1>Drivetrains</formula1>
    </dataValidation>
    <dataValidation type="list" allowBlank="1" showInputMessage="1" showErrorMessage="1" sqref="J284">
      <formula1>Drivetrains</formula1>
    </dataValidation>
    <dataValidation type="list" allowBlank="1" showInputMessage="1" showErrorMessage="1" sqref="J285">
      <formula1>Drivetrains</formula1>
    </dataValidation>
    <dataValidation type="list" allowBlank="1" showInputMessage="1" showErrorMessage="1" sqref="J286">
      <formula1>Drivetrains</formula1>
    </dataValidation>
    <dataValidation type="list" allowBlank="1" showInputMessage="1" showErrorMessage="1" sqref="J287">
      <formula1>Drivetrains</formula1>
    </dataValidation>
    <dataValidation type="list" allowBlank="1" showInputMessage="1" showErrorMessage="1" sqref="J288">
      <formula1>Drivetrains</formula1>
    </dataValidation>
    <dataValidation type="list" allowBlank="1" showInputMessage="1" showErrorMessage="1" sqref="J289">
      <formula1>Drivetrains</formula1>
    </dataValidation>
    <dataValidation type="list" allowBlank="1" showInputMessage="1" showErrorMessage="1" sqref="J290">
      <formula1>Drivetrains</formula1>
    </dataValidation>
    <dataValidation type="list" allowBlank="1" showInputMessage="1" showErrorMessage="1" sqref="J291">
      <formula1>Drivetrains</formula1>
    </dataValidation>
    <dataValidation type="list" allowBlank="1" showInputMessage="1" showErrorMessage="1" sqref="J292">
      <formula1>Drivetrains</formula1>
    </dataValidation>
    <dataValidation type="list" allowBlank="1" showInputMessage="1" showErrorMessage="1" sqref="J293">
      <formula1>Drivetrains</formula1>
    </dataValidation>
    <dataValidation type="list" allowBlank="1" showInputMessage="1" showErrorMessage="1" sqref="J294">
      <formula1>Drivetrains</formula1>
    </dataValidation>
    <dataValidation type="list" allowBlank="1" showInputMessage="1" showErrorMessage="1" sqref="J295">
      <formula1>Drivetrains</formula1>
    </dataValidation>
    <dataValidation type="list" allowBlank="1" showInputMessage="1" showErrorMessage="1" sqref="J296">
      <formula1>Drivetrains</formula1>
    </dataValidation>
    <dataValidation type="list" allowBlank="1" showInputMessage="1" showErrorMessage="1" sqref="J297">
      <formula1>Drivetrains</formula1>
    </dataValidation>
    <dataValidation type="list" allowBlank="1" showInputMessage="1" showErrorMessage="1" sqref="J298">
      <formula1>Drivetrains</formula1>
    </dataValidation>
    <dataValidation type="list" allowBlank="1" showInputMessage="1" showErrorMessage="1" sqref="J299">
      <formula1>Drivetrains</formula1>
    </dataValidation>
    <dataValidation type="list" allowBlank="1" showInputMessage="1" showErrorMessage="1" sqref="J300">
      <formula1>Drivetrains</formula1>
    </dataValidation>
    <dataValidation type="list" allowBlank="1" showInputMessage="1" showErrorMessage="1" sqref="J301">
      <formula1>Drivetrains</formula1>
    </dataValidation>
    <dataValidation type="list" allowBlank="1" showInputMessage="1" showErrorMessage="1" sqref="J302">
      <formula1>Drivetrains</formula1>
    </dataValidation>
    <dataValidation type="list" allowBlank="1" showInputMessage="1" showErrorMessage="1" sqref="J303">
      <formula1>Drivetrains</formula1>
    </dataValidation>
    <dataValidation type="list" allowBlank="1" showInputMessage="1" showErrorMessage="1" sqref="K4">
      <formula1>TireTypes</formula1>
    </dataValidation>
    <dataValidation type="list" allowBlank="1" showInputMessage="1" showErrorMessage="1" sqref="K5">
      <formula1>TireTypes</formula1>
    </dataValidation>
    <dataValidation type="list" allowBlank="1" showInputMessage="1" showErrorMessage="1" sqref="K6">
      <formula1>TireTypes</formula1>
    </dataValidation>
    <dataValidation type="list" allowBlank="1" showInputMessage="1" showErrorMessage="1" sqref="K7">
      <formula1>TireTypes</formula1>
    </dataValidation>
    <dataValidation type="list" allowBlank="1" showInputMessage="1" showErrorMessage="1" sqref="K8">
      <formula1>TireTypes</formula1>
    </dataValidation>
    <dataValidation type="list" allowBlank="1" showInputMessage="1" showErrorMessage="1" sqref="K9">
      <formula1>TireTypes</formula1>
    </dataValidation>
    <dataValidation type="list" allowBlank="1" showInputMessage="1" showErrorMessage="1" sqref="K10">
      <formula1>TireTypes</formula1>
    </dataValidation>
    <dataValidation type="list" allowBlank="1" showInputMessage="1" showErrorMessage="1" sqref="K11">
      <formula1>TireTypes</formula1>
    </dataValidation>
    <dataValidation type="list" allowBlank="1" showInputMessage="1" showErrorMessage="1" sqref="K12">
      <formula1>TireTypes</formula1>
    </dataValidation>
    <dataValidation type="list" allowBlank="1" showInputMessage="1" showErrorMessage="1" sqref="K13">
      <formula1>TireTypes</formula1>
    </dataValidation>
    <dataValidation type="list" allowBlank="1" showInputMessage="1" showErrorMessage="1" sqref="K14">
      <formula1>TireTypes</formula1>
    </dataValidation>
    <dataValidation type="list" allowBlank="1" showInputMessage="1" showErrorMessage="1" sqref="K15">
      <formula1>TireTypes</formula1>
    </dataValidation>
    <dataValidation type="list" allowBlank="1" showInputMessage="1" showErrorMessage="1" sqref="K16">
      <formula1>TireTypes</formula1>
    </dataValidation>
    <dataValidation type="list" allowBlank="1" showInputMessage="1" showErrorMessage="1" sqref="K17">
      <formula1>TireTypes</formula1>
    </dataValidation>
    <dataValidation type="list" allowBlank="1" showInputMessage="1" showErrorMessage="1" sqref="K18">
      <formula1>TireTypes</formula1>
    </dataValidation>
    <dataValidation type="list" allowBlank="1" showInputMessage="1" showErrorMessage="1" sqref="K19">
      <formula1>TireTypes</formula1>
    </dataValidation>
    <dataValidation type="list" allowBlank="1" showInputMessage="1" showErrorMessage="1" sqref="K20">
      <formula1>TireTypes</formula1>
    </dataValidation>
    <dataValidation type="list" allowBlank="1" showInputMessage="1" showErrorMessage="1" sqref="K21">
      <formula1>TireTypes</formula1>
    </dataValidation>
    <dataValidation type="list" allowBlank="1" showInputMessage="1" showErrorMessage="1" sqref="K22">
      <formula1>TireTypes</formula1>
    </dataValidation>
    <dataValidation type="list" allowBlank="1" showInputMessage="1" showErrorMessage="1" sqref="K23">
      <formula1>TireTypes</formula1>
    </dataValidation>
    <dataValidation type="list" allowBlank="1" showInputMessage="1" showErrorMessage="1" sqref="K24">
      <formula1>TireTypes</formula1>
    </dataValidation>
    <dataValidation type="list" allowBlank="1" showInputMessage="1" showErrorMessage="1" sqref="K25">
      <formula1>TireTypes</formula1>
    </dataValidation>
    <dataValidation type="list" allowBlank="1" showInputMessage="1" showErrorMessage="1" sqref="K26">
      <formula1>TireTypes</formula1>
    </dataValidation>
    <dataValidation type="list" allowBlank="1" showInputMessage="1" showErrorMessage="1" sqref="K27">
      <formula1>TireTypes</formula1>
    </dataValidation>
    <dataValidation type="list" allowBlank="1" showInputMessage="1" showErrorMessage="1" sqref="K28">
      <formula1>TireTypes</formula1>
    </dataValidation>
    <dataValidation type="list" allowBlank="1" showInputMessage="1" showErrorMessage="1" sqref="K29">
      <formula1>TireTypes</formula1>
    </dataValidation>
    <dataValidation type="list" allowBlank="1" showInputMessage="1" showErrorMessage="1" sqref="K30">
      <formula1>TireTypes</formula1>
    </dataValidation>
    <dataValidation type="list" allowBlank="1" showInputMessage="1" showErrorMessage="1" sqref="K31">
      <formula1>TireTypes</formula1>
    </dataValidation>
    <dataValidation type="list" allowBlank="1" showInputMessage="1" showErrorMessage="1" sqref="K32">
      <formula1>TireTypes</formula1>
    </dataValidation>
    <dataValidation type="list" allowBlank="1" showInputMessage="1" showErrorMessage="1" sqref="K33">
      <formula1>TireTypes</formula1>
    </dataValidation>
    <dataValidation type="list" allowBlank="1" showInputMessage="1" showErrorMessage="1" sqref="K34">
      <formula1>TireTypes</formula1>
    </dataValidation>
    <dataValidation type="list" allowBlank="1" showInputMessage="1" showErrorMessage="1" sqref="K35">
      <formula1>TireTypes</formula1>
    </dataValidation>
    <dataValidation type="list" allowBlank="1" showInputMessage="1" showErrorMessage="1" sqref="K36">
      <formula1>TireTypes</formula1>
    </dataValidation>
    <dataValidation type="list" allowBlank="1" showInputMessage="1" showErrorMessage="1" sqref="K37">
      <formula1>TireTypes</formula1>
    </dataValidation>
    <dataValidation type="list" allowBlank="1" showInputMessage="1" showErrorMessage="1" sqref="K38">
      <formula1>TireTypes</formula1>
    </dataValidation>
    <dataValidation type="list" allowBlank="1" showInputMessage="1" showErrorMessage="1" sqref="K39">
      <formula1>TireTypes</formula1>
    </dataValidation>
    <dataValidation type="list" allowBlank="1" showInputMessage="1" showErrorMessage="1" sqref="K40">
      <formula1>TireTypes</formula1>
    </dataValidation>
    <dataValidation type="list" allowBlank="1" showInputMessage="1" showErrorMessage="1" sqref="K41">
      <formula1>TireTypes</formula1>
    </dataValidation>
    <dataValidation type="list" allowBlank="1" showInputMessage="1" showErrorMessage="1" sqref="K42">
      <formula1>TireTypes</formula1>
    </dataValidation>
    <dataValidation type="list" allowBlank="1" showInputMessage="1" showErrorMessage="1" sqref="K43">
      <formula1>TireTypes</formula1>
    </dataValidation>
    <dataValidation type="list" allowBlank="1" showInputMessage="1" showErrorMessage="1" sqref="K44">
      <formula1>TireTypes</formula1>
    </dataValidation>
    <dataValidation type="list" allowBlank="1" showInputMessage="1" showErrorMessage="1" sqref="K45">
      <formula1>TireTypes</formula1>
    </dataValidation>
    <dataValidation type="list" allowBlank="1" showInputMessage="1" showErrorMessage="1" sqref="K46">
      <formula1>TireTypes</formula1>
    </dataValidation>
    <dataValidation type="list" allowBlank="1" showInputMessage="1" showErrorMessage="1" sqref="K47">
      <formula1>TireTypes</formula1>
    </dataValidation>
    <dataValidation type="list" allowBlank="1" showInputMessage="1" showErrorMessage="1" sqref="K48">
      <formula1>TireTypes</formula1>
    </dataValidation>
    <dataValidation type="list" allowBlank="1" showInputMessage="1" showErrorMessage="1" sqref="K49">
      <formula1>TireTypes</formula1>
    </dataValidation>
    <dataValidation type="list" allowBlank="1" showInputMessage="1" showErrorMessage="1" sqref="K50">
      <formula1>TireTypes</formula1>
    </dataValidation>
    <dataValidation type="list" allowBlank="1" showInputMessage="1" showErrorMessage="1" sqref="K51">
      <formula1>TireTypes</formula1>
    </dataValidation>
    <dataValidation type="list" allowBlank="1" showInputMessage="1" showErrorMessage="1" sqref="K52">
      <formula1>TireTypes</formula1>
    </dataValidation>
    <dataValidation type="list" allowBlank="1" showInputMessage="1" showErrorMessage="1" sqref="K53">
      <formula1>TireTypes</formula1>
    </dataValidation>
    <dataValidation type="list" allowBlank="1" showInputMessage="1" showErrorMessage="1" sqref="K54">
      <formula1>TireTypes</formula1>
    </dataValidation>
    <dataValidation type="list" allowBlank="1" showInputMessage="1" showErrorMessage="1" sqref="K55">
      <formula1>TireTypes</formula1>
    </dataValidation>
    <dataValidation type="list" allowBlank="1" showInputMessage="1" showErrorMessage="1" sqref="K56">
      <formula1>TireTypes</formula1>
    </dataValidation>
    <dataValidation type="list" allowBlank="1" showInputMessage="1" showErrorMessage="1" sqref="K57">
      <formula1>TireTypes</formula1>
    </dataValidation>
    <dataValidation type="list" allowBlank="1" showInputMessage="1" showErrorMessage="1" sqref="K58">
      <formula1>TireTypes</formula1>
    </dataValidation>
    <dataValidation type="list" allowBlank="1" showInputMessage="1" showErrorMessage="1" sqref="K59">
      <formula1>TireTypes</formula1>
    </dataValidation>
    <dataValidation type="list" allowBlank="1" showInputMessage="1" showErrorMessage="1" sqref="K60">
      <formula1>TireTypes</formula1>
    </dataValidation>
    <dataValidation type="list" allowBlank="1" showInputMessage="1" showErrorMessage="1" sqref="K61">
      <formula1>TireTypes</formula1>
    </dataValidation>
    <dataValidation type="list" allowBlank="1" showInputMessage="1" showErrorMessage="1" sqref="K62">
      <formula1>TireTypes</formula1>
    </dataValidation>
    <dataValidation type="list" allowBlank="1" showInputMessage="1" showErrorMessage="1" sqref="K63">
      <formula1>TireTypes</formula1>
    </dataValidation>
    <dataValidation type="list" allowBlank="1" showInputMessage="1" showErrorMessage="1" sqref="K64">
      <formula1>TireTypes</formula1>
    </dataValidation>
    <dataValidation type="list" allowBlank="1" showInputMessage="1" showErrorMessage="1" sqref="K65">
      <formula1>TireTypes</formula1>
    </dataValidation>
    <dataValidation type="list" allowBlank="1" showInputMessage="1" showErrorMessage="1" sqref="K66">
      <formula1>TireTypes</formula1>
    </dataValidation>
    <dataValidation type="list" allowBlank="1" showInputMessage="1" showErrorMessage="1" sqref="K67">
      <formula1>TireTypes</formula1>
    </dataValidation>
    <dataValidation type="list" allowBlank="1" showInputMessage="1" showErrorMessage="1" sqref="K68">
      <formula1>TireTypes</formula1>
    </dataValidation>
    <dataValidation type="list" allowBlank="1" showInputMessage="1" showErrorMessage="1" sqref="K69">
      <formula1>TireTypes</formula1>
    </dataValidation>
    <dataValidation type="list" allowBlank="1" showInputMessage="1" showErrorMessage="1" sqref="K70">
      <formula1>TireTypes</formula1>
    </dataValidation>
    <dataValidation type="list" allowBlank="1" showInputMessage="1" showErrorMessage="1" sqref="K71">
      <formula1>TireTypes</formula1>
    </dataValidation>
    <dataValidation type="list" allowBlank="1" showInputMessage="1" showErrorMessage="1" sqref="K72">
      <formula1>TireTypes</formula1>
    </dataValidation>
    <dataValidation type="list" allowBlank="1" showInputMessage="1" showErrorMessage="1" sqref="K73">
      <formula1>TireTypes</formula1>
    </dataValidation>
    <dataValidation type="list" allowBlank="1" showInputMessage="1" showErrorMessage="1" sqref="K74">
      <formula1>TireTypes</formula1>
    </dataValidation>
    <dataValidation type="list" allowBlank="1" showInputMessage="1" showErrorMessage="1" sqref="K75">
      <formula1>TireTypes</formula1>
    </dataValidation>
    <dataValidation type="list" allowBlank="1" showInputMessage="1" showErrorMessage="1" sqref="K76">
      <formula1>TireTypes</formula1>
    </dataValidation>
    <dataValidation type="list" allowBlank="1" showInputMessage="1" showErrorMessage="1" sqref="K77">
      <formula1>TireTypes</formula1>
    </dataValidation>
    <dataValidation type="list" allowBlank="1" showInputMessage="1" showErrorMessage="1" sqref="K78">
      <formula1>TireTypes</formula1>
    </dataValidation>
    <dataValidation type="list" allowBlank="1" showInputMessage="1" showErrorMessage="1" sqref="K79">
      <formula1>TireTypes</formula1>
    </dataValidation>
    <dataValidation type="list" allowBlank="1" showInputMessage="1" showErrorMessage="1" sqref="K80">
      <formula1>TireTypes</formula1>
    </dataValidation>
    <dataValidation type="list" allowBlank="1" showInputMessage="1" showErrorMessage="1" sqref="K81">
      <formula1>TireTypes</formula1>
    </dataValidation>
    <dataValidation type="list" allowBlank="1" showInputMessage="1" showErrorMessage="1" sqref="K82">
      <formula1>TireTypes</formula1>
    </dataValidation>
    <dataValidation type="list" allowBlank="1" showInputMessage="1" showErrorMessage="1" sqref="K83">
      <formula1>TireTypes</formula1>
    </dataValidation>
    <dataValidation type="list" allowBlank="1" showInputMessage="1" showErrorMessage="1" sqref="K84">
      <formula1>TireTypes</formula1>
    </dataValidation>
    <dataValidation type="list" allowBlank="1" showInputMessage="1" showErrorMessage="1" sqref="K85">
      <formula1>TireTypes</formula1>
    </dataValidation>
    <dataValidation type="list" allowBlank="1" showInputMessage="1" showErrorMessage="1" sqref="K86">
      <formula1>TireTypes</formula1>
    </dataValidation>
    <dataValidation type="list" allowBlank="1" showInputMessage="1" showErrorMessage="1" sqref="K87">
      <formula1>TireTypes</formula1>
    </dataValidation>
    <dataValidation type="list" allowBlank="1" showInputMessage="1" showErrorMessage="1" sqref="K88">
      <formula1>TireTypes</formula1>
    </dataValidation>
    <dataValidation type="list" allowBlank="1" showInputMessage="1" showErrorMessage="1" sqref="K89">
      <formula1>TireTypes</formula1>
    </dataValidation>
    <dataValidation type="list" allowBlank="1" showInputMessage="1" showErrorMessage="1" sqref="K90">
      <formula1>TireTypes</formula1>
    </dataValidation>
    <dataValidation type="list" allowBlank="1" showInputMessage="1" showErrorMessage="1" sqref="K91">
      <formula1>TireTypes</formula1>
    </dataValidation>
    <dataValidation type="list" allowBlank="1" showInputMessage="1" showErrorMessage="1" sqref="K92">
      <formula1>TireTypes</formula1>
    </dataValidation>
    <dataValidation type="list" allowBlank="1" showInputMessage="1" showErrorMessage="1" sqref="K93">
      <formula1>TireTypes</formula1>
    </dataValidation>
    <dataValidation type="list" allowBlank="1" showInputMessage="1" showErrorMessage="1" sqref="K94">
      <formula1>TireTypes</formula1>
    </dataValidation>
    <dataValidation type="list" allowBlank="1" showInputMessage="1" showErrorMessage="1" sqref="K95">
      <formula1>TireTypes</formula1>
    </dataValidation>
    <dataValidation type="list" allowBlank="1" showInputMessage="1" showErrorMessage="1" sqref="K96">
      <formula1>TireTypes</formula1>
    </dataValidation>
    <dataValidation type="list" allowBlank="1" showInputMessage="1" showErrorMessage="1" sqref="K97">
      <formula1>TireTypes</formula1>
    </dataValidation>
    <dataValidation type="list" allowBlank="1" showInputMessage="1" showErrorMessage="1" sqref="K98">
      <formula1>TireTypes</formula1>
    </dataValidation>
    <dataValidation type="list" allowBlank="1" showInputMessage="1" showErrorMessage="1" sqref="K99">
      <formula1>TireTypes</formula1>
    </dataValidation>
    <dataValidation type="list" allowBlank="1" showInputMessage="1" showErrorMessage="1" sqref="K100">
      <formula1>TireTypes</formula1>
    </dataValidation>
    <dataValidation type="list" allowBlank="1" showInputMessage="1" showErrorMessage="1" sqref="K101">
      <formula1>TireTypes</formula1>
    </dataValidation>
    <dataValidation type="list" allowBlank="1" showInputMessage="1" showErrorMessage="1" sqref="K102">
      <formula1>TireTypes</formula1>
    </dataValidation>
    <dataValidation type="list" allowBlank="1" showInputMessage="1" showErrorMessage="1" sqref="K103">
      <formula1>TireTypes</formula1>
    </dataValidation>
    <dataValidation type="list" allowBlank="1" showInputMessage="1" showErrorMessage="1" sqref="K104">
      <formula1>TireTypes</formula1>
    </dataValidation>
    <dataValidation type="list" allowBlank="1" showInputMessage="1" showErrorMessage="1" sqref="K105">
      <formula1>TireTypes</formula1>
    </dataValidation>
    <dataValidation type="list" allowBlank="1" showInputMessage="1" showErrorMessage="1" sqref="K106">
      <formula1>TireTypes</formula1>
    </dataValidation>
    <dataValidation type="list" allowBlank="1" showInputMessage="1" showErrorMessage="1" sqref="K107">
      <formula1>TireTypes</formula1>
    </dataValidation>
    <dataValidation type="list" allowBlank="1" showInputMessage="1" showErrorMessage="1" sqref="K108">
      <formula1>TireTypes</formula1>
    </dataValidation>
    <dataValidation type="list" allowBlank="1" showInputMessage="1" showErrorMessage="1" sqref="K109">
      <formula1>TireTypes</formula1>
    </dataValidation>
    <dataValidation type="list" allowBlank="1" showInputMessage="1" showErrorMessage="1" sqref="K110">
      <formula1>TireTypes</formula1>
    </dataValidation>
    <dataValidation type="list" allowBlank="1" showInputMessage="1" showErrorMessage="1" sqref="K111">
      <formula1>TireTypes</formula1>
    </dataValidation>
    <dataValidation type="list" allowBlank="1" showInputMessage="1" showErrorMessage="1" sqref="K112">
      <formula1>TireTypes</formula1>
    </dataValidation>
    <dataValidation type="list" allowBlank="1" showInputMessage="1" showErrorMessage="1" sqref="K113">
      <formula1>TireTypes</formula1>
    </dataValidation>
    <dataValidation type="list" allowBlank="1" showInputMessage="1" showErrorMessage="1" sqref="K114">
      <formula1>TireTypes</formula1>
    </dataValidation>
    <dataValidation type="list" allowBlank="1" showInputMessage="1" showErrorMessage="1" sqref="K115">
      <formula1>TireTypes</formula1>
    </dataValidation>
    <dataValidation type="list" allowBlank="1" showInputMessage="1" showErrorMessage="1" sqref="K116">
      <formula1>TireTypes</formula1>
    </dataValidation>
    <dataValidation type="list" allowBlank="1" showInputMessage="1" showErrorMessage="1" sqref="K117">
      <formula1>TireTypes</formula1>
    </dataValidation>
    <dataValidation type="list" allowBlank="1" showInputMessage="1" showErrorMessage="1" sqref="K118">
      <formula1>TireTypes</formula1>
    </dataValidation>
    <dataValidation type="list" allowBlank="1" showInputMessage="1" showErrorMessage="1" sqref="K119">
      <formula1>TireTypes</formula1>
    </dataValidation>
    <dataValidation type="list" allowBlank="1" showInputMessage="1" showErrorMessage="1" sqref="K120">
      <formula1>TireTypes</formula1>
    </dataValidation>
    <dataValidation type="list" allowBlank="1" showInputMessage="1" showErrorMessage="1" sqref="K121">
      <formula1>TireTypes</formula1>
    </dataValidation>
    <dataValidation type="list" allowBlank="1" showInputMessage="1" showErrorMessage="1" sqref="K122">
      <formula1>TireTypes</formula1>
    </dataValidation>
    <dataValidation type="list" allowBlank="1" showInputMessage="1" showErrorMessage="1" sqref="K123">
      <formula1>TireTypes</formula1>
    </dataValidation>
    <dataValidation type="list" allowBlank="1" showInputMessage="1" showErrorMessage="1" sqref="K124">
      <formula1>TireTypes</formula1>
    </dataValidation>
    <dataValidation type="list" allowBlank="1" showInputMessage="1" showErrorMessage="1" sqref="K125">
      <formula1>TireTypes</formula1>
    </dataValidation>
    <dataValidation type="list" allowBlank="1" showInputMessage="1" showErrorMessage="1" sqref="K126">
      <formula1>TireTypes</formula1>
    </dataValidation>
    <dataValidation type="list" allowBlank="1" showInputMessage="1" showErrorMessage="1" sqref="K127">
      <formula1>TireTypes</formula1>
    </dataValidation>
    <dataValidation type="list" allowBlank="1" showInputMessage="1" showErrorMessage="1" sqref="K128">
      <formula1>TireTypes</formula1>
    </dataValidation>
    <dataValidation type="list" allowBlank="1" showInputMessage="1" showErrorMessage="1" sqref="K129">
      <formula1>TireTypes</formula1>
    </dataValidation>
    <dataValidation type="list" allowBlank="1" showInputMessage="1" showErrorMessage="1" sqref="K130">
      <formula1>TireTypes</formula1>
    </dataValidation>
    <dataValidation type="list" allowBlank="1" showInputMessage="1" showErrorMessage="1" sqref="K131">
      <formula1>TireTypes</formula1>
    </dataValidation>
    <dataValidation type="list" allowBlank="1" showInputMessage="1" showErrorMessage="1" sqref="K132">
      <formula1>TireTypes</formula1>
    </dataValidation>
    <dataValidation type="list" allowBlank="1" showInputMessage="1" showErrorMessage="1" sqref="K133">
      <formula1>TireTypes</formula1>
    </dataValidation>
    <dataValidation type="list" allowBlank="1" showInputMessage="1" showErrorMessage="1" sqref="K134">
      <formula1>TireTypes</formula1>
    </dataValidation>
    <dataValidation type="list" allowBlank="1" showInputMessage="1" showErrorMessage="1" sqref="K135">
      <formula1>TireTypes</formula1>
    </dataValidation>
    <dataValidation type="list" allowBlank="1" showInputMessage="1" showErrorMessage="1" sqref="K136">
      <formula1>TireTypes</formula1>
    </dataValidation>
    <dataValidation type="list" allowBlank="1" showInputMessage="1" showErrorMessage="1" sqref="K137">
      <formula1>TireTypes</formula1>
    </dataValidation>
    <dataValidation type="list" allowBlank="1" showInputMessage="1" showErrorMessage="1" sqref="K138">
      <formula1>TireTypes</formula1>
    </dataValidation>
    <dataValidation type="list" allowBlank="1" showInputMessage="1" showErrorMessage="1" sqref="K139">
      <formula1>TireTypes</formula1>
    </dataValidation>
    <dataValidation type="list" allowBlank="1" showInputMessage="1" showErrorMessage="1" sqref="K140">
      <formula1>TireTypes</formula1>
    </dataValidation>
    <dataValidation type="list" allowBlank="1" showInputMessage="1" showErrorMessage="1" sqref="K141">
      <formula1>TireTypes</formula1>
    </dataValidation>
    <dataValidation type="list" allowBlank="1" showInputMessage="1" showErrorMessage="1" sqref="K142">
      <formula1>TireTypes</formula1>
    </dataValidation>
    <dataValidation type="list" allowBlank="1" showInputMessage="1" showErrorMessage="1" sqref="K143">
      <formula1>TireTypes</formula1>
    </dataValidation>
    <dataValidation type="list" allowBlank="1" showInputMessage="1" showErrorMessage="1" sqref="K144">
      <formula1>TireTypes</formula1>
    </dataValidation>
    <dataValidation type="list" allowBlank="1" showInputMessage="1" showErrorMessage="1" sqref="K145">
      <formula1>TireTypes</formula1>
    </dataValidation>
    <dataValidation type="list" allowBlank="1" showInputMessage="1" showErrorMessage="1" sqref="K146">
      <formula1>TireTypes</formula1>
    </dataValidation>
    <dataValidation type="list" allowBlank="1" showInputMessage="1" showErrorMessage="1" sqref="K147">
      <formula1>TireTypes</formula1>
    </dataValidation>
    <dataValidation type="list" allowBlank="1" showInputMessage="1" showErrorMessage="1" sqref="K148">
      <formula1>TireTypes</formula1>
    </dataValidation>
    <dataValidation type="list" allowBlank="1" showInputMessage="1" showErrorMessage="1" sqref="K149">
      <formula1>TireTypes</formula1>
    </dataValidation>
    <dataValidation type="list" allowBlank="1" showInputMessage="1" showErrorMessage="1" sqref="K150">
      <formula1>TireTypes</formula1>
    </dataValidation>
    <dataValidation type="list" allowBlank="1" showInputMessage="1" showErrorMessage="1" sqref="K151">
      <formula1>TireTypes</formula1>
    </dataValidation>
    <dataValidation type="list" allowBlank="1" showInputMessage="1" showErrorMessage="1" sqref="K152">
      <formula1>TireTypes</formula1>
    </dataValidation>
    <dataValidation type="list" allowBlank="1" showInputMessage="1" showErrorMessage="1" sqref="K153">
      <formula1>TireTypes</formula1>
    </dataValidation>
    <dataValidation type="list" allowBlank="1" showInputMessage="1" showErrorMessage="1" sqref="K154">
      <formula1>TireTypes</formula1>
    </dataValidation>
    <dataValidation type="list" allowBlank="1" showInputMessage="1" showErrorMessage="1" sqref="K155">
      <formula1>TireTypes</formula1>
    </dataValidation>
    <dataValidation type="list" allowBlank="1" showInputMessage="1" showErrorMessage="1" sqref="K156">
      <formula1>TireTypes</formula1>
    </dataValidation>
    <dataValidation type="list" allowBlank="1" showInputMessage="1" showErrorMessage="1" sqref="K157">
      <formula1>TireTypes</formula1>
    </dataValidation>
    <dataValidation type="list" allowBlank="1" showInputMessage="1" showErrorMessage="1" sqref="K158">
      <formula1>TireTypes</formula1>
    </dataValidation>
    <dataValidation type="list" allowBlank="1" showInputMessage="1" showErrorMessage="1" sqref="K159">
      <formula1>TireTypes</formula1>
    </dataValidation>
    <dataValidation type="list" allowBlank="1" showInputMessage="1" showErrorMessage="1" sqref="K160">
      <formula1>TireTypes</formula1>
    </dataValidation>
    <dataValidation type="list" allowBlank="1" showInputMessage="1" showErrorMessage="1" sqref="K161">
      <formula1>TireTypes</formula1>
    </dataValidation>
    <dataValidation type="list" allowBlank="1" showInputMessage="1" showErrorMessage="1" sqref="K162">
      <formula1>TireTypes</formula1>
    </dataValidation>
    <dataValidation type="list" allowBlank="1" showInputMessage="1" showErrorMessage="1" sqref="K163">
      <formula1>TireTypes</formula1>
    </dataValidation>
    <dataValidation type="list" allowBlank="1" showInputMessage="1" showErrorMessage="1" sqref="K164">
      <formula1>TireTypes</formula1>
    </dataValidation>
    <dataValidation type="list" allowBlank="1" showInputMessage="1" showErrorMessage="1" sqref="K165">
      <formula1>TireTypes</formula1>
    </dataValidation>
    <dataValidation type="list" allowBlank="1" showInputMessage="1" showErrorMessage="1" sqref="K166">
      <formula1>TireTypes</formula1>
    </dataValidation>
    <dataValidation type="list" allowBlank="1" showInputMessage="1" showErrorMessage="1" sqref="K167">
      <formula1>TireTypes</formula1>
    </dataValidation>
    <dataValidation type="list" allowBlank="1" showInputMessage="1" showErrorMessage="1" sqref="K168">
      <formula1>TireTypes</formula1>
    </dataValidation>
    <dataValidation type="list" allowBlank="1" showInputMessage="1" showErrorMessage="1" sqref="K169">
      <formula1>TireTypes</formula1>
    </dataValidation>
    <dataValidation type="list" allowBlank="1" showInputMessage="1" showErrorMessage="1" sqref="K170">
      <formula1>TireTypes</formula1>
    </dataValidation>
    <dataValidation type="list" allowBlank="1" showInputMessage="1" showErrorMessage="1" sqref="K171">
      <formula1>TireTypes</formula1>
    </dataValidation>
    <dataValidation type="list" allowBlank="1" showInputMessage="1" showErrorMessage="1" sqref="K172">
      <formula1>TireTypes</formula1>
    </dataValidation>
    <dataValidation type="list" allowBlank="1" showInputMessage="1" showErrorMessage="1" sqref="K173">
      <formula1>TireTypes</formula1>
    </dataValidation>
    <dataValidation type="list" allowBlank="1" showInputMessage="1" showErrorMessage="1" sqref="K174">
      <formula1>TireTypes</formula1>
    </dataValidation>
    <dataValidation type="list" allowBlank="1" showInputMessage="1" showErrorMessage="1" sqref="K175">
      <formula1>TireTypes</formula1>
    </dataValidation>
    <dataValidation type="list" allowBlank="1" showInputMessage="1" showErrorMessage="1" sqref="K176">
      <formula1>TireTypes</formula1>
    </dataValidation>
    <dataValidation type="list" allowBlank="1" showInputMessage="1" showErrorMessage="1" sqref="K177">
      <formula1>TireTypes</formula1>
    </dataValidation>
    <dataValidation type="list" allowBlank="1" showInputMessage="1" showErrorMessage="1" sqref="K178">
      <formula1>TireTypes</formula1>
    </dataValidation>
    <dataValidation type="list" allowBlank="1" showInputMessage="1" showErrorMessage="1" sqref="K179">
      <formula1>TireTypes</formula1>
    </dataValidation>
    <dataValidation type="list" allowBlank="1" showInputMessage="1" showErrorMessage="1" sqref="K180">
      <formula1>TireTypes</formula1>
    </dataValidation>
    <dataValidation type="list" allowBlank="1" showInputMessage="1" showErrorMessage="1" sqref="K181">
      <formula1>TireTypes</formula1>
    </dataValidation>
    <dataValidation type="list" allowBlank="1" showInputMessage="1" showErrorMessage="1" sqref="K182">
      <formula1>TireTypes</formula1>
    </dataValidation>
    <dataValidation type="list" allowBlank="1" showInputMessage="1" showErrorMessage="1" sqref="K183">
      <formula1>TireTypes</formula1>
    </dataValidation>
    <dataValidation type="list" allowBlank="1" showInputMessage="1" showErrorMessage="1" sqref="K184">
      <formula1>TireTypes</formula1>
    </dataValidation>
    <dataValidation type="list" allowBlank="1" showInputMessage="1" showErrorMessage="1" sqref="K185">
      <formula1>TireTypes</formula1>
    </dataValidation>
    <dataValidation type="list" allowBlank="1" showInputMessage="1" showErrorMessage="1" sqref="K186">
      <formula1>TireTypes</formula1>
    </dataValidation>
    <dataValidation type="list" allowBlank="1" showInputMessage="1" showErrorMessage="1" sqref="K187">
      <formula1>TireTypes</formula1>
    </dataValidation>
    <dataValidation type="list" allowBlank="1" showInputMessage="1" showErrorMessage="1" sqref="K188">
      <formula1>TireTypes</formula1>
    </dataValidation>
    <dataValidation type="list" allowBlank="1" showInputMessage="1" showErrorMessage="1" sqref="K189">
      <formula1>TireTypes</formula1>
    </dataValidation>
    <dataValidation type="list" allowBlank="1" showInputMessage="1" showErrorMessage="1" sqref="K190">
      <formula1>TireTypes</formula1>
    </dataValidation>
    <dataValidation type="list" allowBlank="1" showInputMessage="1" showErrorMessage="1" sqref="K191">
      <formula1>TireTypes</formula1>
    </dataValidation>
    <dataValidation type="list" allowBlank="1" showInputMessage="1" showErrorMessage="1" sqref="K192">
      <formula1>TireTypes</formula1>
    </dataValidation>
    <dataValidation type="list" allowBlank="1" showInputMessage="1" showErrorMessage="1" sqref="K193">
      <formula1>TireTypes</formula1>
    </dataValidation>
    <dataValidation type="list" allowBlank="1" showInputMessage="1" showErrorMessage="1" sqref="K194">
      <formula1>TireTypes</formula1>
    </dataValidation>
    <dataValidation type="list" allowBlank="1" showInputMessage="1" showErrorMessage="1" sqref="K195">
      <formula1>TireTypes</formula1>
    </dataValidation>
    <dataValidation type="list" allowBlank="1" showInputMessage="1" showErrorMessage="1" sqref="K196">
      <formula1>TireTypes</formula1>
    </dataValidation>
    <dataValidation type="list" allowBlank="1" showInputMessage="1" showErrorMessage="1" sqref="K197">
      <formula1>TireTypes</formula1>
    </dataValidation>
    <dataValidation type="list" allowBlank="1" showInputMessage="1" showErrorMessage="1" sqref="K198">
      <formula1>TireTypes</formula1>
    </dataValidation>
    <dataValidation type="list" allowBlank="1" showInputMessage="1" showErrorMessage="1" sqref="K199">
      <formula1>TireTypes</formula1>
    </dataValidation>
    <dataValidation type="list" allowBlank="1" showInputMessage="1" showErrorMessage="1" sqref="K200">
      <formula1>TireTypes</formula1>
    </dataValidation>
    <dataValidation type="list" allowBlank="1" showInputMessage="1" showErrorMessage="1" sqref="K201">
      <formula1>TireTypes</formula1>
    </dataValidation>
    <dataValidation type="list" allowBlank="1" showInputMessage="1" showErrorMessage="1" sqref="K202">
      <formula1>TireTypes</formula1>
    </dataValidation>
    <dataValidation type="list" allowBlank="1" showInputMessage="1" showErrorMessage="1" sqref="K203">
      <formula1>TireTypes</formula1>
    </dataValidation>
    <dataValidation type="list" allowBlank="1" showInputMessage="1" showErrorMessage="1" sqref="K204">
      <formula1>TireTypes</formula1>
    </dataValidation>
    <dataValidation type="list" allowBlank="1" showInputMessage="1" showErrorMessage="1" sqref="K205">
      <formula1>TireTypes</formula1>
    </dataValidation>
    <dataValidation type="list" allowBlank="1" showInputMessage="1" showErrorMessage="1" sqref="K206">
      <formula1>TireTypes</formula1>
    </dataValidation>
    <dataValidation type="list" allowBlank="1" showInputMessage="1" showErrorMessage="1" sqref="K207">
      <formula1>TireTypes</formula1>
    </dataValidation>
    <dataValidation type="list" allowBlank="1" showInputMessage="1" showErrorMessage="1" sqref="K208">
      <formula1>TireTypes</formula1>
    </dataValidation>
    <dataValidation type="list" allowBlank="1" showInputMessage="1" showErrorMessage="1" sqref="K209">
      <formula1>TireTypes</formula1>
    </dataValidation>
    <dataValidation type="list" allowBlank="1" showInputMessage="1" showErrorMessage="1" sqref="K210">
      <formula1>TireTypes</formula1>
    </dataValidation>
    <dataValidation type="list" allowBlank="1" showInputMessage="1" showErrorMessage="1" sqref="K211">
      <formula1>TireTypes</formula1>
    </dataValidation>
    <dataValidation type="list" allowBlank="1" showInputMessage="1" showErrorMessage="1" sqref="K212">
      <formula1>TireTypes</formula1>
    </dataValidation>
    <dataValidation type="list" allowBlank="1" showInputMessage="1" showErrorMessage="1" sqref="K213">
      <formula1>TireTypes</formula1>
    </dataValidation>
    <dataValidation type="list" allowBlank="1" showInputMessage="1" showErrorMessage="1" sqref="K214">
      <formula1>TireTypes</formula1>
    </dataValidation>
    <dataValidation type="list" allowBlank="1" showInputMessage="1" showErrorMessage="1" sqref="K215">
      <formula1>TireTypes</formula1>
    </dataValidation>
    <dataValidation type="list" allowBlank="1" showInputMessage="1" showErrorMessage="1" sqref="K216">
      <formula1>TireTypes</formula1>
    </dataValidation>
    <dataValidation type="list" allowBlank="1" showInputMessage="1" showErrorMessage="1" sqref="K217">
      <formula1>TireTypes</formula1>
    </dataValidation>
    <dataValidation type="list" allowBlank="1" showInputMessage="1" showErrorMessage="1" sqref="K218">
      <formula1>TireTypes</formula1>
    </dataValidation>
    <dataValidation type="list" allowBlank="1" showInputMessage="1" showErrorMessage="1" sqref="K219">
      <formula1>TireTypes</formula1>
    </dataValidation>
    <dataValidation type="list" allowBlank="1" showInputMessage="1" showErrorMessage="1" sqref="K220">
      <formula1>TireTypes</formula1>
    </dataValidation>
    <dataValidation type="list" allowBlank="1" showInputMessage="1" showErrorMessage="1" sqref="K221">
      <formula1>TireTypes</formula1>
    </dataValidation>
    <dataValidation type="list" allowBlank="1" showInputMessage="1" showErrorMessage="1" sqref="K222">
      <formula1>TireTypes</formula1>
    </dataValidation>
    <dataValidation type="list" allowBlank="1" showInputMessage="1" showErrorMessage="1" sqref="K223">
      <formula1>TireTypes</formula1>
    </dataValidation>
    <dataValidation type="list" allowBlank="1" showInputMessage="1" showErrorMessage="1" sqref="K224">
      <formula1>TireTypes</formula1>
    </dataValidation>
    <dataValidation type="list" allowBlank="1" showInputMessage="1" showErrorMessage="1" sqref="K225">
      <formula1>TireTypes</formula1>
    </dataValidation>
    <dataValidation type="list" allowBlank="1" showInputMessage="1" showErrorMessage="1" sqref="K226">
      <formula1>TireTypes</formula1>
    </dataValidation>
    <dataValidation type="list" allowBlank="1" showInputMessage="1" showErrorMessage="1" sqref="K227">
      <formula1>TireTypes</formula1>
    </dataValidation>
    <dataValidation type="list" allowBlank="1" showInputMessage="1" showErrorMessage="1" sqref="K228">
      <formula1>TireTypes</formula1>
    </dataValidation>
    <dataValidation type="list" allowBlank="1" showInputMessage="1" showErrorMessage="1" sqref="K229">
      <formula1>TireTypes</formula1>
    </dataValidation>
    <dataValidation type="list" allowBlank="1" showInputMessage="1" showErrorMessage="1" sqref="K230">
      <formula1>TireTypes</formula1>
    </dataValidation>
    <dataValidation type="list" allowBlank="1" showInputMessage="1" showErrorMessage="1" sqref="K231">
      <formula1>TireTypes</formula1>
    </dataValidation>
    <dataValidation type="list" allowBlank="1" showInputMessage="1" showErrorMessage="1" sqref="K232">
      <formula1>TireTypes</formula1>
    </dataValidation>
    <dataValidation type="list" allowBlank="1" showInputMessage="1" showErrorMessage="1" sqref="K233">
      <formula1>TireTypes</formula1>
    </dataValidation>
    <dataValidation type="list" allowBlank="1" showInputMessage="1" showErrorMessage="1" sqref="K234">
      <formula1>TireTypes</formula1>
    </dataValidation>
    <dataValidation type="list" allowBlank="1" showInputMessage="1" showErrorMessage="1" sqref="K235">
      <formula1>TireTypes</formula1>
    </dataValidation>
    <dataValidation type="list" allowBlank="1" showInputMessage="1" showErrorMessage="1" sqref="K236">
      <formula1>TireTypes</formula1>
    </dataValidation>
    <dataValidation type="list" allowBlank="1" showInputMessage="1" showErrorMessage="1" sqref="K237">
      <formula1>TireTypes</formula1>
    </dataValidation>
    <dataValidation type="list" allowBlank="1" showInputMessage="1" showErrorMessage="1" sqref="K238">
      <formula1>TireTypes</formula1>
    </dataValidation>
    <dataValidation type="list" allowBlank="1" showInputMessage="1" showErrorMessage="1" sqref="K239">
      <formula1>TireTypes</formula1>
    </dataValidation>
    <dataValidation type="list" allowBlank="1" showInputMessage="1" showErrorMessage="1" sqref="K240">
      <formula1>TireTypes</formula1>
    </dataValidation>
    <dataValidation type="list" allowBlank="1" showInputMessage="1" showErrorMessage="1" sqref="K241">
      <formula1>TireTypes</formula1>
    </dataValidation>
    <dataValidation type="list" allowBlank="1" showInputMessage="1" showErrorMessage="1" sqref="K242">
      <formula1>TireTypes</formula1>
    </dataValidation>
    <dataValidation type="list" allowBlank="1" showInputMessage="1" showErrorMessage="1" sqref="K243">
      <formula1>TireTypes</formula1>
    </dataValidation>
    <dataValidation type="list" allowBlank="1" showInputMessage="1" showErrorMessage="1" sqref="K244">
      <formula1>TireTypes</formula1>
    </dataValidation>
    <dataValidation type="list" allowBlank="1" showInputMessage="1" showErrorMessage="1" sqref="K245">
      <formula1>TireTypes</formula1>
    </dataValidation>
    <dataValidation type="list" allowBlank="1" showInputMessage="1" showErrorMessage="1" sqref="K246">
      <formula1>TireTypes</formula1>
    </dataValidation>
    <dataValidation type="list" allowBlank="1" showInputMessage="1" showErrorMessage="1" sqref="K247">
      <formula1>TireTypes</formula1>
    </dataValidation>
    <dataValidation type="list" allowBlank="1" showInputMessage="1" showErrorMessage="1" sqref="K248">
      <formula1>TireTypes</formula1>
    </dataValidation>
    <dataValidation type="list" allowBlank="1" showInputMessage="1" showErrorMessage="1" sqref="K249">
      <formula1>TireTypes</formula1>
    </dataValidation>
    <dataValidation type="list" allowBlank="1" showInputMessage="1" showErrorMessage="1" sqref="K250">
      <formula1>TireTypes</formula1>
    </dataValidation>
    <dataValidation type="list" allowBlank="1" showInputMessage="1" showErrorMessage="1" sqref="K251">
      <formula1>TireTypes</formula1>
    </dataValidation>
    <dataValidation type="list" allowBlank="1" showInputMessage="1" showErrorMessage="1" sqref="K252">
      <formula1>TireTypes</formula1>
    </dataValidation>
    <dataValidation type="list" allowBlank="1" showInputMessage="1" showErrorMessage="1" sqref="K253">
      <formula1>TireTypes</formula1>
    </dataValidation>
    <dataValidation type="list" allowBlank="1" showInputMessage="1" showErrorMessage="1" sqref="K254">
      <formula1>TireTypes</formula1>
    </dataValidation>
    <dataValidation type="list" allowBlank="1" showInputMessage="1" showErrorMessage="1" sqref="K255">
      <formula1>TireTypes</formula1>
    </dataValidation>
    <dataValidation type="list" allowBlank="1" showInputMessage="1" showErrorMessage="1" sqref="K256">
      <formula1>TireTypes</formula1>
    </dataValidation>
    <dataValidation type="list" allowBlank="1" showInputMessage="1" showErrorMessage="1" sqref="K257">
      <formula1>TireTypes</formula1>
    </dataValidation>
    <dataValidation type="list" allowBlank="1" showInputMessage="1" showErrorMessage="1" sqref="K258">
      <formula1>TireTypes</formula1>
    </dataValidation>
    <dataValidation type="list" allowBlank="1" showInputMessage="1" showErrorMessage="1" sqref="K259">
      <formula1>TireTypes</formula1>
    </dataValidation>
    <dataValidation type="list" allowBlank="1" showInputMessage="1" showErrorMessage="1" sqref="K260">
      <formula1>TireTypes</formula1>
    </dataValidation>
    <dataValidation type="list" allowBlank="1" showInputMessage="1" showErrorMessage="1" sqref="K261">
      <formula1>TireTypes</formula1>
    </dataValidation>
    <dataValidation type="list" allowBlank="1" showInputMessage="1" showErrorMessage="1" sqref="K262">
      <formula1>TireTypes</formula1>
    </dataValidation>
    <dataValidation type="list" allowBlank="1" showInputMessage="1" showErrorMessage="1" sqref="K263">
      <formula1>TireTypes</formula1>
    </dataValidation>
    <dataValidation type="list" allowBlank="1" showInputMessage="1" showErrorMessage="1" sqref="K264">
      <formula1>TireTypes</formula1>
    </dataValidation>
    <dataValidation type="list" allowBlank="1" showInputMessage="1" showErrorMessage="1" sqref="K265">
      <formula1>TireTypes</formula1>
    </dataValidation>
    <dataValidation type="list" allowBlank="1" showInputMessage="1" showErrorMessage="1" sqref="K266">
      <formula1>TireTypes</formula1>
    </dataValidation>
    <dataValidation type="list" allowBlank="1" showInputMessage="1" showErrorMessage="1" sqref="K267">
      <formula1>TireTypes</formula1>
    </dataValidation>
    <dataValidation type="list" allowBlank="1" showInputMessage="1" showErrorMessage="1" sqref="K268">
      <formula1>TireTypes</formula1>
    </dataValidation>
    <dataValidation type="list" allowBlank="1" showInputMessage="1" showErrorMessage="1" sqref="K269">
      <formula1>TireTypes</formula1>
    </dataValidation>
    <dataValidation type="list" allowBlank="1" showInputMessage="1" showErrorMessage="1" sqref="K270">
      <formula1>TireTypes</formula1>
    </dataValidation>
    <dataValidation type="list" allowBlank="1" showInputMessage="1" showErrorMessage="1" sqref="K271">
      <formula1>TireTypes</formula1>
    </dataValidation>
    <dataValidation type="list" allowBlank="1" showInputMessage="1" showErrorMessage="1" sqref="K272">
      <formula1>TireTypes</formula1>
    </dataValidation>
    <dataValidation type="list" allowBlank="1" showInputMessage="1" showErrorMessage="1" sqref="K273">
      <formula1>TireTypes</formula1>
    </dataValidation>
    <dataValidation type="list" allowBlank="1" showInputMessage="1" showErrorMessage="1" sqref="K274">
      <formula1>TireTypes</formula1>
    </dataValidation>
    <dataValidation type="list" allowBlank="1" showInputMessage="1" showErrorMessage="1" sqref="K275">
      <formula1>TireTypes</formula1>
    </dataValidation>
    <dataValidation type="list" allowBlank="1" showInputMessage="1" showErrorMessage="1" sqref="K276">
      <formula1>TireTypes</formula1>
    </dataValidation>
    <dataValidation type="list" allowBlank="1" showInputMessage="1" showErrorMessage="1" sqref="K277">
      <formula1>TireTypes</formula1>
    </dataValidation>
    <dataValidation type="list" allowBlank="1" showInputMessage="1" showErrorMessage="1" sqref="K278">
      <formula1>TireTypes</formula1>
    </dataValidation>
    <dataValidation type="list" allowBlank="1" showInputMessage="1" showErrorMessage="1" sqref="K279">
      <formula1>TireTypes</formula1>
    </dataValidation>
    <dataValidation type="list" allowBlank="1" showInputMessage="1" showErrorMessage="1" sqref="K280">
      <formula1>TireTypes</formula1>
    </dataValidation>
    <dataValidation type="list" allowBlank="1" showInputMessage="1" showErrorMessage="1" sqref="K281">
      <formula1>TireTypes</formula1>
    </dataValidation>
    <dataValidation type="list" allowBlank="1" showInputMessage="1" showErrorMessage="1" sqref="K282">
      <formula1>TireTypes</formula1>
    </dataValidation>
    <dataValidation type="list" allowBlank="1" showInputMessage="1" showErrorMessage="1" sqref="K283">
      <formula1>TireTypes</formula1>
    </dataValidation>
    <dataValidation type="list" allowBlank="1" showInputMessage="1" showErrorMessage="1" sqref="K284">
      <formula1>TireTypes</formula1>
    </dataValidation>
    <dataValidation type="list" allowBlank="1" showInputMessage="1" showErrorMessage="1" sqref="K285">
      <formula1>TireTypes</formula1>
    </dataValidation>
    <dataValidation type="list" allowBlank="1" showInputMessage="1" showErrorMessage="1" sqref="K286">
      <formula1>TireTypes</formula1>
    </dataValidation>
    <dataValidation type="list" allowBlank="1" showInputMessage="1" showErrorMessage="1" sqref="K287">
      <formula1>TireTypes</formula1>
    </dataValidation>
    <dataValidation type="list" allowBlank="1" showInputMessage="1" showErrorMessage="1" sqref="K288">
      <formula1>TireTypes</formula1>
    </dataValidation>
    <dataValidation type="list" allowBlank="1" showInputMessage="1" showErrorMessage="1" sqref="K289">
      <formula1>TireTypes</formula1>
    </dataValidation>
    <dataValidation type="list" allowBlank="1" showInputMessage="1" showErrorMessage="1" sqref="K290">
      <formula1>TireTypes</formula1>
    </dataValidation>
    <dataValidation type="list" allowBlank="1" showInputMessage="1" showErrorMessage="1" sqref="K291">
      <formula1>TireTypes</formula1>
    </dataValidation>
    <dataValidation type="list" allowBlank="1" showInputMessage="1" showErrorMessage="1" sqref="K292">
      <formula1>TireTypes</formula1>
    </dataValidation>
    <dataValidation type="list" allowBlank="1" showInputMessage="1" showErrorMessage="1" sqref="K293">
      <formula1>TireTypes</formula1>
    </dataValidation>
    <dataValidation type="list" allowBlank="1" showInputMessage="1" showErrorMessage="1" sqref="K294">
      <formula1>TireTypes</formula1>
    </dataValidation>
    <dataValidation type="list" allowBlank="1" showInputMessage="1" showErrorMessage="1" sqref="K295">
      <formula1>TireTypes</formula1>
    </dataValidation>
    <dataValidation type="list" allowBlank="1" showInputMessage="1" showErrorMessage="1" sqref="K296">
      <formula1>TireTypes</formula1>
    </dataValidation>
    <dataValidation type="list" allowBlank="1" showInputMessage="1" showErrorMessage="1" sqref="K297">
      <formula1>TireTypes</formula1>
    </dataValidation>
    <dataValidation type="list" allowBlank="1" showInputMessage="1" showErrorMessage="1" sqref="K298">
      <formula1>TireTypes</formula1>
    </dataValidation>
    <dataValidation type="list" allowBlank="1" showInputMessage="1" showErrorMessage="1" sqref="K299">
      <formula1>TireTypes</formula1>
    </dataValidation>
    <dataValidation type="list" allowBlank="1" showInputMessage="1" showErrorMessage="1" sqref="K300">
      <formula1>TireTypes</formula1>
    </dataValidation>
    <dataValidation type="list" allowBlank="1" showInputMessage="1" showErrorMessage="1" sqref="K301">
      <formula1>TireTypes</formula1>
    </dataValidation>
    <dataValidation type="list" allowBlank="1" showInputMessage="1" showErrorMessage="1" sqref="K302">
      <formula1>TireTypes</formula1>
    </dataValidation>
    <dataValidation type="list" allowBlank="1" showInputMessage="1" showErrorMessage="1" sqref="K303">
      <formula1>TireTypes</formula1>
    </dataValidation>
    <dataValidation type="list" allowBlank="1" showInputMessage="1" showErrorMessage="1" sqref="C4">
      <formula1>ControllerTypes</formula1>
    </dataValidation>
    <dataValidation type="list" allowBlank="1" showInputMessage="1" showErrorMessage="1" sqref="C5">
      <formula1>ControllerTypes</formula1>
    </dataValidation>
    <dataValidation type="list" allowBlank="1" showInputMessage="1" showErrorMessage="1" sqref="C6">
      <formula1>ControllerTypes</formula1>
    </dataValidation>
    <dataValidation type="list" allowBlank="1" showInputMessage="1" showErrorMessage="1" sqref="C7">
      <formula1>ControllerTypes</formula1>
    </dataValidation>
    <dataValidation type="list" allowBlank="1" showInputMessage="1" showErrorMessage="1" sqref="C8">
      <formula1>ControllerTypes</formula1>
    </dataValidation>
    <dataValidation type="list" allowBlank="1" showInputMessage="1" showErrorMessage="1" sqref="C9">
      <formula1>ControllerTypes</formula1>
    </dataValidation>
    <dataValidation type="list" allowBlank="1" showInputMessage="1" showErrorMessage="1" sqref="C10">
      <formula1>ControllerTypes</formula1>
    </dataValidation>
    <dataValidation type="list" allowBlank="1" showInputMessage="1" showErrorMessage="1" sqref="C11">
      <formula1>ControllerTypes</formula1>
    </dataValidation>
    <dataValidation type="list" allowBlank="1" showInputMessage="1" showErrorMessage="1" sqref="C12">
      <formula1>ControllerTypes</formula1>
    </dataValidation>
    <dataValidation type="list" allowBlank="1" showInputMessage="1" showErrorMessage="1" sqref="C13">
      <formula1>ControllerTypes</formula1>
    </dataValidation>
    <dataValidation type="list" allowBlank="1" showInputMessage="1" showErrorMessage="1" sqref="C14">
      <formula1>ControllerTypes</formula1>
    </dataValidation>
    <dataValidation type="list" allowBlank="1" showInputMessage="1" showErrorMessage="1" sqref="C15">
      <formula1>ControllerTypes</formula1>
    </dataValidation>
    <dataValidation type="list" allowBlank="1" showInputMessage="1" showErrorMessage="1" sqref="C16">
      <formula1>ControllerTypes</formula1>
    </dataValidation>
    <dataValidation type="list" allowBlank="1" showInputMessage="1" showErrorMessage="1" sqref="C17">
      <formula1>ControllerTypes</formula1>
    </dataValidation>
    <dataValidation type="list" allowBlank="1" showInputMessage="1" showErrorMessage="1" sqref="C18">
      <formula1>ControllerTypes</formula1>
    </dataValidation>
    <dataValidation type="list" allowBlank="1" showInputMessage="1" showErrorMessage="1" sqref="C19">
      <formula1>ControllerTypes</formula1>
    </dataValidation>
    <dataValidation type="list" allowBlank="1" showInputMessage="1" showErrorMessage="1" sqref="C20">
      <formula1>ControllerTypes</formula1>
    </dataValidation>
    <dataValidation type="list" allowBlank="1" showInputMessage="1" showErrorMessage="1" sqref="C21">
      <formula1>ControllerTypes</formula1>
    </dataValidation>
    <dataValidation type="list" allowBlank="1" showInputMessage="1" showErrorMessage="1" sqref="C22">
      <formula1>ControllerTypes</formula1>
    </dataValidation>
    <dataValidation type="list" allowBlank="1" showInputMessage="1" showErrorMessage="1" sqref="C23">
      <formula1>ControllerTypes</formula1>
    </dataValidation>
    <dataValidation type="list" allowBlank="1" showInputMessage="1" showErrorMessage="1" sqref="C24">
      <formula1>ControllerTypes</formula1>
    </dataValidation>
    <dataValidation type="list" allowBlank="1" showInputMessage="1" showErrorMessage="1" sqref="C25">
      <formula1>ControllerTypes</formula1>
    </dataValidation>
    <dataValidation type="list" allowBlank="1" showInputMessage="1" showErrorMessage="1" sqref="C26">
      <formula1>ControllerTypes</formula1>
    </dataValidation>
    <dataValidation type="list" allowBlank="1" showInputMessage="1" showErrorMessage="1" sqref="C27">
      <formula1>ControllerTypes</formula1>
    </dataValidation>
    <dataValidation type="list" allowBlank="1" showInputMessage="1" showErrorMessage="1" sqref="C28">
      <formula1>ControllerTypes</formula1>
    </dataValidation>
    <dataValidation type="list" allowBlank="1" showInputMessage="1" showErrorMessage="1" sqref="C29">
      <formula1>ControllerTypes</formula1>
    </dataValidation>
    <dataValidation type="list" allowBlank="1" showInputMessage="1" showErrorMessage="1" sqref="C30">
      <formula1>ControllerTypes</formula1>
    </dataValidation>
    <dataValidation type="list" allowBlank="1" showInputMessage="1" showErrorMessage="1" sqref="C31">
      <formula1>ControllerTypes</formula1>
    </dataValidation>
    <dataValidation type="list" allowBlank="1" showInputMessage="1" showErrorMessage="1" sqref="C32">
      <formula1>ControllerTypes</formula1>
    </dataValidation>
    <dataValidation type="list" allowBlank="1" showInputMessage="1" showErrorMessage="1" sqref="C33">
      <formula1>ControllerTypes</formula1>
    </dataValidation>
    <dataValidation type="list" allowBlank="1" showInputMessage="1" showErrorMessage="1" sqref="C34">
      <formula1>ControllerTypes</formula1>
    </dataValidation>
    <dataValidation type="list" allowBlank="1" showInputMessage="1" showErrorMessage="1" sqref="C35">
      <formula1>ControllerTypes</formula1>
    </dataValidation>
    <dataValidation type="list" allowBlank="1" showInputMessage="1" showErrorMessage="1" sqref="C36">
      <formula1>ControllerTypes</formula1>
    </dataValidation>
    <dataValidation type="list" allowBlank="1" showInputMessage="1" showErrorMessage="1" sqref="C37">
      <formula1>ControllerTypes</formula1>
    </dataValidation>
    <dataValidation type="list" allowBlank="1" showInputMessage="1" showErrorMessage="1" sqref="C38">
      <formula1>ControllerTypes</formula1>
    </dataValidation>
    <dataValidation type="list" allowBlank="1" showInputMessage="1" showErrorMessage="1" sqref="C39">
      <formula1>ControllerTypes</formula1>
    </dataValidation>
    <dataValidation type="list" allowBlank="1" showInputMessage="1" showErrorMessage="1" sqref="C40">
      <formula1>ControllerTypes</formula1>
    </dataValidation>
    <dataValidation type="list" allowBlank="1" showInputMessage="1" showErrorMessage="1" sqref="C41">
      <formula1>ControllerTypes</formula1>
    </dataValidation>
    <dataValidation type="list" allowBlank="1" showInputMessage="1" showErrorMessage="1" sqref="C42">
      <formula1>ControllerTypes</formula1>
    </dataValidation>
    <dataValidation type="list" allowBlank="1" showInputMessage="1" showErrorMessage="1" sqref="C43">
      <formula1>ControllerTypes</formula1>
    </dataValidation>
    <dataValidation type="list" allowBlank="1" showInputMessage="1" showErrorMessage="1" sqref="C44">
      <formula1>ControllerTypes</formula1>
    </dataValidation>
    <dataValidation type="list" allowBlank="1" showInputMessage="1" showErrorMessage="1" sqref="C45">
      <formula1>ControllerTypes</formula1>
    </dataValidation>
    <dataValidation type="list" allowBlank="1" showInputMessage="1" showErrorMessage="1" sqref="C46">
      <formula1>ControllerTypes</formula1>
    </dataValidation>
    <dataValidation type="list" allowBlank="1" showInputMessage="1" showErrorMessage="1" sqref="C47">
      <formula1>ControllerTypes</formula1>
    </dataValidation>
    <dataValidation type="list" allowBlank="1" showInputMessage="1" showErrorMessage="1" sqref="C48">
      <formula1>ControllerTypes</formula1>
    </dataValidation>
    <dataValidation type="list" allowBlank="1" showInputMessage="1" showErrorMessage="1" sqref="C49">
      <formula1>ControllerTypes</formula1>
    </dataValidation>
    <dataValidation type="list" allowBlank="1" showInputMessage="1" showErrorMessage="1" sqref="C50">
      <formula1>ControllerTypes</formula1>
    </dataValidation>
    <dataValidation type="list" allowBlank="1" showInputMessage="1" showErrorMessage="1" sqref="C51">
      <formula1>ControllerTypes</formula1>
    </dataValidation>
    <dataValidation type="list" allowBlank="1" showInputMessage="1" showErrorMessage="1" sqref="C52">
      <formula1>ControllerTypes</formula1>
    </dataValidation>
    <dataValidation type="list" allowBlank="1" showInputMessage="1" showErrorMessage="1" sqref="C53">
      <formula1>ControllerTypes</formula1>
    </dataValidation>
    <dataValidation type="list" allowBlank="1" showInputMessage="1" showErrorMessage="1" sqref="C54">
      <formula1>ControllerTypes</formula1>
    </dataValidation>
    <dataValidation type="list" allowBlank="1" showInputMessage="1" showErrorMessage="1" sqref="C55">
      <formula1>ControllerTypes</formula1>
    </dataValidation>
    <dataValidation type="list" allowBlank="1" showInputMessage="1" showErrorMessage="1" sqref="C56">
      <formula1>ControllerTypes</formula1>
    </dataValidation>
    <dataValidation type="list" allowBlank="1" showInputMessage="1" showErrorMessage="1" sqref="C57">
      <formula1>ControllerTypes</formula1>
    </dataValidation>
    <dataValidation type="list" allowBlank="1" showInputMessage="1" showErrorMessage="1" sqref="C58">
      <formula1>ControllerTypes</formula1>
    </dataValidation>
    <dataValidation type="list" allowBlank="1" showInputMessage="1" showErrorMessage="1" sqref="C59">
      <formula1>ControllerTypes</formula1>
    </dataValidation>
    <dataValidation type="list" allowBlank="1" showInputMessage="1" showErrorMessage="1" sqref="C60">
      <formula1>ControllerTypes</formula1>
    </dataValidation>
    <dataValidation type="list" allowBlank="1" showInputMessage="1" showErrorMessage="1" sqref="C61">
      <formula1>ControllerTypes</formula1>
    </dataValidation>
    <dataValidation type="list" allowBlank="1" showInputMessage="1" showErrorMessage="1" sqref="C62">
      <formula1>ControllerTypes</formula1>
    </dataValidation>
    <dataValidation type="list" allowBlank="1" showInputMessage="1" showErrorMessage="1" sqref="C63">
      <formula1>ControllerTypes</formula1>
    </dataValidation>
    <dataValidation type="list" allowBlank="1" showInputMessage="1" showErrorMessage="1" sqref="C64">
      <formula1>ControllerTypes</formula1>
    </dataValidation>
    <dataValidation type="list" allowBlank="1" showInputMessage="1" showErrorMessage="1" sqref="C65">
      <formula1>ControllerTypes</formula1>
    </dataValidation>
    <dataValidation type="list" allowBlank="1" showInputMessage="1" showErrorMessage="1" sqref="C66">
      <formula1>ControllerTypes</formula1>
    </dataValidation>
    <dataValidation type="list" allowBlank="1" showInputMessage="1" showErrorMessage="1" sqref="C67">
      <formula1>ControllerTypes</formula1>
    </dataValidation>
    <dataValidation type="list" allowBlank="1" showInputMessage="1" showErrorMessage="1" sqref="C68">
      <formula1>ControllerTypes</formula1>
    </dataValidation>
    <dataValidation type="list" allowBlank="1" showInputMessage="1" showErrorMessage="1" sqref="C69">
      <formula1>ControllerTypes</formula1>
    </dataValidation>
    <dataValidation type="list" allowBlank="1" showInputMessage="1" showErrorMessage="1" sqref="C70">
      <formula1>ControllerTypes</formula1>
    </dataValidation>
    <dataValidation type="list" allowBlank="1" showInputMessage="1" showErrorMessage="1" sqref="C71">
      <formula1>ControllerTypes</formula1>
    </dataValidation>
    <dataValidation type="list" allowBlank="1" showInputMessage="1" showErrorMessage="1" sqref="C72">
      <formula1>ControllerTypes</formula1>
    </dataValidation>
    <dataValidation type="list" allowBlank="1" showInputMessage="1" showErrorMessage="1" sqref="C73">
      <formula1>ControllerTypes</formula1>
    </dataValidation>
    <dataValidation type="list" allowBlank="1" showInputMessage="1" showErrorMessage="1" sqref="C74">
      <formula1>ControllerTypes</formula1>
    </dataValidation>
    <dataValidation type="list" allowBlank="1" showInputMessage="1" showErrorMessage="1" sqref="C75">
      <formula1>ControllerTypes</formula1>
    </dataValidation>
    <dataValidation type="list" allowBlank="1" showInputMessage="1" showErrorMessage="1" sqref="C76">
      <formula1>ControllerTypes</formula1>
    </dataValidation>
    <dataValidation type="list" allowBlank="1" showInputMessage="1" showErrorMessage="1" sqref="C77">
      <formula1>ControllerTypes</formula1>
    </dataValidation>
    <dataValidation type="list" allowBlank="1" showInputMessage="1" showErrorMessage="1" sqref="C78">
      <formula1>ControllerTypes</formula1>
    </dataValidation>
    <dataValidation type="list" allowBlank="1" showInputMessage="1" showErrorMessage="1" sqref="C79">
      <formula1>ControllerTypes</formula1>
    </dataValidation>
    <dataValidation type="list" allowBlank="1" showInputMessage="1" showErrorMessage="1" sqref="C80">
      <formula1>ControllerTypes</formula1>
    </dataValidation>
    <dataValidation type="list" allowBlank="1" showInputMessage="1" showErrorMessage="1" sqref="C81">
      <formula1>ControllerTypes</formula1>
    </dataValidation>
    <dataValidation type="list" allowBlank="1" showInputMessage="1" showErrorMessage="1" sqref="C82">
      <formula1>ControllerTypes</formula1>
    </dataValidation>
    <dataValidation type="list" allowBlank="1" showInputMessage="1" showErrorMessage="1" sqref="C83">
      <formula1>ControllerTypes</formula1>
    </dataValidation>
    <dataValidation type="list" allowBlank="1" showInputMessage="1" showErrorMessage="1" sqref="C84">
      <formula1>ControllerTypes</formula1>
    </dataValidation>
    <dataValidation type="list" allowBlank="1" showInputMessage="1" showErrorMessage="1" sqref="C85">
      <formula1>ControllerTypes</formula1>
    </dataValidation>
    <dataValidation type="list" allowBlank="1" showInputMessage="1" showErrorMessage="1" sqref="C86">
      <formula1>ControllerTypes</formula1>
    </dataValidation>
    <dataValidation type="list" allowBlank="1" showInputMessage="1" showErrorMessage="1" sqref="C87">
      <formula1>ControllerTypes</formula1>
    </dataValidation>
    <dataValidation type="list" allowBlank="1" showInputMessage="1" showErrorMessage="1" sqref="C88">
      <formula1>ControllerTypes</formula1>
    </dataValidation>
    <dataValidation type="list" allowBlank="1" showInputMessage="1" showErrorMessage="1" sqref="C89">
      <formula1>ControllerTypes</formula1>
    </dataValidation>
    <dataValidation type="list" allowBlank="1" showInputMessage="1" showErrorMessage="1" sqref="C90">
      <formula1>ControllerTypes</formula1>
    </dataValidation>
    <dataValidation type="list" allowBlank="1" showInputMessage="1" showErrorMessage="1" sqref="C91">
      <formula1>ControllerTypes</formula1>
    </dataValidation>
    <dataValidation type="list" allowBlank="1" showInputMessage="1" showErrorMessage="1" sqref="C92">
      <formula1>ControllerTypes</formula1>
    </dataValidation>
    <dataValidation type="list" allowBlank="1" showInputMessage="1" showErrorMessage="1" sqref="C93">
      <formula1>ControllerTypes</formula1>
    </dataValidation>
    <dataValidation type="list" allowBlank="1" showInputMessage="1" showErrorMessage="1" sqref="C94">
      <formula1>ControllerTypes</formula1>
    </dataValidation>
    <dataValidation type="list" allowBlank="1" showInputMessage="1" showErrorMessage="1" sqref="C95">
      <formula1>ControllerTypes</formula1>
    </dataValidation>
    <dataValidation type="list" allowBlank="1" showInputMessage="1" showErrorMessage="1" sqref="C96">
      <formula1>ControllerTypes</formula1>
    </dataValidation>
    <dataValidation type="list" allowBlank="1" showInputMessage="1" showErrorMessage="1" sqref="C97">
      <formula1>ControllerTypes</formula1>
    </dataValidation>
    <dataValidation type="list" allowBlank="1" showInputMessage="1" showErrorMessage="1" sqref="C98">
      <formula1>ControllerTypes</formula1>
    </dataValidation>
    <dataValidation type="list" allowBlank="1" showInputMessage="1" showErrorMessage="1" sqref="C99">
      <formula1>ControllerTypes</formula1>
    </dataValidation>
    <dataValidation type="list" allowBlank="1" showInputMessage="1" showErrorMessage="1" sqref="C100">
      <formula1>ControllerTypes</formula1>
    </dataValidation>
    <dataValidation type="list" allowBlank="1" showInputMessage="1" showErrorMessage="1" sqref="C101">
      <formula1>ControllerTypes</formula1>
    </dataValidation>
    <dataValidation type="list" allowBlank="1" showInputMessage="1" showErrorMessage="1" sqref="C102">
      <formula1>ControllerTypes</formula1>
    </dataValidation>
    <dataValidation type="list" allowBlank="1" showInputMessage="1" showErrorMessage="1" sqref="C103">
      <formula1>ControllerTypes</formula1>
    </dataValidation>
    <dataValidation type="list" allowBlank="1" showInputMessage="1" showErrorMessage="1" sqref="C104">
      <formula1>ControllerTypes</formula1>
    </dataValidation>
    <dataValidation type="list" allowBlank="1" showInputMessage="1" showErrorMessage="1" sqref="C105">
      <formula1>ControllerTypes</formula1>
    </dataValidation>
    <dataValidation type="list" allowBlank="1" showInputMessage="1" showErrorMessage="1" sqref="C106">
      <formula1>ControllerTypes</formula1>
    </dataValidation>
    <dataValidation type="list" allowBlank="1" showInputMessage="1" showErrorMessage="1" sqref="C107">
      <formula1>ControllerTypes</formula1>
    </dataValidation>
    <dataValidation type="list" allowBlank="1" showInputMessage="1" showErrorMessage="1" sqref="C108">
      <formula1>ControllerTypes</formula1>
    </dataValidation>
    <dataValidation type="list" allowBlank="1" showInputMessage="1" showErrorMessage="1" sqref="C109">
      <formula1>ControllerTypes</formula1>
    </dataValidation>
    <dataValidation type="list" allowBlank="1" showInputMessage="1" showErrorMessage="1" sqref="C110">
      <formula1>ControllerTypes</formula1>
    </dataValidation>
    <dataValidation type="list" allowBlank="1" showInputMessage="1" showErrorMessage="1" sqref="C111">
      <formula1>ControllerTypes</formula1>
    </dataValidation>
    <dataValidation type="list" allowBlank="1" showInputMessage="1" showErrorMessage="1" sqref="C112">
      <formula1>ControllerTypes</formula1>
    </dataValidation>
    <dataValidation type="list" allowBlank="1" showInputMessage="1" showErrorMessage="1" sqref="C113">
      <formula1>ControllerTypes</formula1>
    </dataValidation>
    <dataValidation type="list" allowBlank="1" showInputMessage="1" showErrorMessage="1" sqref="C114">
      <formula1>ControllerTypes</formula1>
    </dataValidation>
    <dataValidation type="list" allowBlank="1" showInputMessage="1" showErrorMessage="1" sqref="C115">
      <formula1>ControllerTypes</formula1>
    </dataValidation>
    <dataValidation type="list" allowBlank="1" showInputMessage="1" showErrorMessage="1" sqref="C116">
      <formula1>ControllerTypes</formula1>
    </dataValidation>
    <dataValidation type="list" allowBlank="1" showInputMessage="1" showErrorMessage="1" sqref="C117">
      <formula1>ControllerTypes</formula1>
    </dataValidation>
    <dataValidation type="list" allowBlank="1" showInputMessage="1" showErrorMessage="1" sqref="C118">
      <formula1>ControllerTypes</formula1>
    </dataValidation>
    <dataValidation type="list" allowBlank="1" showInputMessage="1" showErrorMessage="1" sqref="C119">
      <formula1>ControllerTypes</formula1>
    </dataValidation>
    <dataValidation type="list" allowBlank="1" showInputMessage="1" showErrorMessage="1" sqref="C120">
      <formula1>ControllerTypes</formula1>
    </dataValidation>
    <dataValidation type="list" allowBlank="1" showInputMessage="1" showErrorMessage="1" sqref="C121">
      <formula1>ControllerTypes</formula1>
    </dataValidation>
    <dataValidation type="list" allowBlank="1" showInputMessage="1" showErrorMessage="1" sqref="C122">
      <formula1>ControllerTypes</formula1>
    </dataValidation>
    <dataValidation type="list" allowBlank="1" showInputMessage="1" showErrorMessage="1" sqref="C123">
      <formula1>ControllerTypes</formula1>
    </dataValidation>
    <dataValidation type="list" allowBlank="1" showInputMessage="1" showErrorMessage="1" sqref="C124">
      <formula1>ControllerTypes</formula1>
    </dataValidation>
    <dataValidation type="list" allowBlank="1" showInputMessage="1" showErrorMessage="1" sqref="C125">
      <formula1>ControllerTypes</formula1>
    </dataValidation>
    <dataValidation type="list" allowBlank="1" showInputMessage="1" showErrorMessage="1" sqref="C126">
      <formula1>ControllerTypes</formula1>
    </dataValidation>
    <dataValidation type="list" allowBlank="1" showInputMessage="1" showErrorMessage="1" sqref="C127">
      <formula1>ControllerTypes</formula1>
    </dataValidation>
    <dataValidation type="list" allowBlank="1" showInputMessage="1" showErrorMessage="1" sqref="C128">
      <formula1>ControllerTypes</formula1>
    </dataValidation>
    <dataValidation type="list" allowBlank="1" showInputMessage="1" showErrorMessage="1" sqref="C129">
      <formula1>ControllerTypes</formula1>
    </dataValidation>
    <dataValidation type="list" allowBlank="1" showInputMessage="1" showErrorMessage="1" sqref="C130">
      <formula1>ControllerTypes</formula1>
    </dataValidation>
    <dataValidation type="list" allowBlank="1" showInputMessage="1" showErrorMessage="1" sqref="C131">
      <formula1>ControllerTypes</formula1>
    </dataValidation>
    <dataValidation type="list" allowBlank="1" showInputMessage="1" showErrorMessage="1" sqref="C132">
      <formula1>ControllerTypes</formula1>
    </dataValidation>
    <dataValidation type="list" allowBlank="1" showInputMessage="1" showErrorMessage="1" sqref="C133">
      <formula1>ControllerTypes</formula1>
    </dataValidation>
    <dataValidation type="list" allowBlank="1" showInputMessage="1" showErrorMessage="1" sqref="C134">
      <formula1>ControllerTypes</formula1>
    </dataValidation>
    <dataValidation type="list" allowBlank="1" showInputMessage="1" showErrorMessage="1" sqref="C135">
      <formula1>ControllerTypes</formula1>
    </dataValidation>
    <dataValidation type="list" allowBlank="1" showInputMessage="1" showErrorMessage="1" sqref="C136">
      <formula1>ControllerTypes</formula1>
    </dataValidation>
    <dataValidation type="list" allowBlank="1" showInputMessage="1" showErrorMessage="1" sqref="C137">
      <formula1>ControllerTypes</formula1>
    </dataValidation>
    <dataValidation type="list" allowBlank="1" showInputMessage="1" showErrorMessage="1" sqref="C138">
      <formula1>ControllerTypes</formula1>
    </dataValidation>
    <dataValidation type="list" allowBlank="1" showInputMessage="1" showErrorMessage="1" sqref="C139">
      <formula1>ControllerTypes</formula1>
    </dataValidation>
    <dataValidation type="list" allowBlank="1" showInputMessage="1" showErrorMessage="1" sqref="C140">
      <formula1>ControllerTypes</formula1>
    </dataValidation>
    <dataValidation type="list" allowBlank="1" showInputMessage="1" showErrorMessage="1" sqref="C141">
      <formula1>ControllerTypes</formula1>
    </dataValidation>
    <dataValidation type="list" allowBlank="1" showInputMessage="1" showErrorMessage="1" sqref="C142">
      <formula1>ControllerTypes</formula1>
    </dataValidation>
    <dataValidation type="list" allowBlank="1" showInputMessage="1" showErrorMessage="1" sqref="C143">
      <formula1>ControllerTypes</formula1>
    </dataValidation>
    <dataValidation type="list" allowBlank="1" showInputMessage="1" showErrorMessage="1" sqref="C144">
      <formula1>ControllerTypes</formula1>
    </dataValidation>
    <dataValidation type="list" allowBlank="1" showInputMessage="1" showErrorMessage="1" sqref="C145">
      <formula1>ControllerTypes</formula1>
    </dataValidation>
    <dataValidation type="list" allowBlank="1" showInputMessage="1" showErrorMessage="1" sqref="C146">
      <formula1>ControllerTypes</formula1>
    </dataValidation>
    <dataValidation type="list" allowBlank="1" showInputMessage="1" showErrorMessage="1" sqref="C147">
      <formula1>ControllerTypes</formula1>
    </dataValidation>
    <dataValidation type="list" allowBlank="1" showInputMessage="1" showErrorMessage="1" sqref="C148">
      <formula1>ControllerTypes</formula1>
    </dataValidation>
    <dataValidation type="list" allowBlank="1" showInputMessage="1" showErrorMessage="1" sqref="C149">
      <formula1>ControllerTypes</formula1>
    </dataValidation>
    <dataValidation type="list" allowBlank="1" showInputMessage="1" showErrorMessage="1" sqref="C150">
      <formula1>ControllerTypes</formula1>
    </dataValidation>
    <dataValidation type="list" allowBlank="1" showInputMessage="1" showErrorMessage="1" sqref="C151">
      <formula1>ControllerTypes</formula1>
    </dataValidation>
    <dataValidation type="list" allowBlank="1" showInputMessage="1" showErrorMessage="1" sqref="C152">
      <formula1>ControllerTypes</formula1>
    </dataValidation>
    <dataValidation type="list" allowBlank="1" showInputMessage="1" showErrorMessage="1" sqref="C153">
      <formula1>ControllerTypes</formula1>
    </dataValidation>
    <dataValidation type="list" allowBlank="1" showInputMessage="1" showErrorMessage="1" sqref="C154">
      <formula1>ControllerTypes</formula1>
    </dataValidation>
    <dataValidation type="list" allowBlank="1" showInputMessage="1" showErrorMessage="1" sqref="C155">
      <formula1>ControllerTypes</formula1>
    </dataValidation>
    <dataValidation type="list" allowBlank="1" showInputMessage="1" showErrorMessage="1" sqref="C156">
      <formula1>ControllerTypes</formula1>
    </dataValidation>
    <dataValidation type="list" allowBlank="1" showInputMessage="1" showErrorMessage="1" sqref="C157">
      <formula1>ControllerTypes</formula1>
    </dataValidation>
    <dataValidation type="list" allowBlank="1" showInputMessage="1" showErrorMessage="1" sqref="C158">
      <formula1>ControllerTypes</formula1>
    </dataValidation>
    <dataValidation type="list" allowBlank="1" showInputMessage="1" showErrorMessage="1" sqref="C159">
      <formula1>ControllerTypes</formula1>
    </dataValidation>
    <dataValidation type="list" allowBlank="1" showInputMessage="1" showErrorMessage="1" sqref="C160">
      <formula1>ControllerTypes</formula1>
    </dataValidation>
    <dataValidation type="list" allowBlank="1" showInputMessage="1" showErrorMessage="1" sqref="C161">
      <formula1>ControllerTypes</formula1>
    </dataValidation>
    <dataValidation type="list" allowBlank="1" showInputMessage="1" showErrorMessage="1" sqref="C162">
      <formula1>ControllerTypes</formula1>
    </dataValidation>
    <dataValidation type="list" allowBlank="1" showInputMessage="1" showErrorMessage="1" sqref="C163">
      <formula1>ControllerTypes</formula1>
    </dataValidation>
    <dataValidation type="list" allowBlank="1" showInputMessage="1" showErrorMessage="1" sqref="C164">
      <formula1>ControllerTypes</formula1>
    </dataValidation>
    <dataValidation type="list" allowBlank="1" showInputMessage="1" showErrorMessage="1" sqref="C165">
      <formula1>ControllerTypes</formula1>
    </dataValidation>
    <dataValidation type="list" allowBlank="1" showInputMessage="1" showErrorMessage="1" sqref="C166">
      <formula1>ControllerTypes</formula1>
    </dataValidation>
    <dataValidation type="list" allowBlank="1" showInputMessage="1" showErrorMessage="1" sqref="C167">
      <formula1>ControllerTypes</formula1>
    </dataValidation>
    <dataValidation type="list" allowBlank="1" showInputMessage="1" showErrorMessage="1" sqref="C168">
      <formula1>ControllerTypes</formula1>
    </dataValidation>
    <dataValidation type="list" allowBlank="1" showInputMessage="1" showErrorMessage="1" sqref="C169">
      <formula1>ControllerTypes</formula1>
    </dataValidation>
    <dataValidation type="list" allowBlank="1" showInputMessage="1" showErrorMessage="1" sqref="C170">
      <formula1>ControllerTypes</formula1>
    </dataValidation>
    <dataValidation type="list" allowBlank="1" showInputMessage="1" showErrorMessage="1" sqref="C171">
      <formula1>ControllerTypes</formula1>
    </dataValidation>
    <dataValidation type="list" allowBlank="1" showInputMessage="1" showErrorMessage="1" sqref="C172">
      <formula1>ControllerTypes</formula1>
    </dataValidation>
    <dataValidation type="list" allowBlank="1" showInputMessage="1" showErrorMessage="1" sqref="C173">
      <formula1>ControllerTypes</formula1>
    </dataValidation>
    <dataValidation type="list" allowBlank="1" showInputMessage="1" showErrorMessage="1" sqref="C174">
      <formula1>ControllerTypes</formula1>
    </dataValidation>
    <dataValidation type="list" allowBlank="1" showInputMessage="1" showErrorMessage="1" sqref="C175">
      <formula1>ControllerTypes</formula1>
    </dataValidation>
    <dataValidation type="list" allowBlank="1" showInputMessage="1" showErrorMessage="1" sqref="C176">
      <formula1>ControllerTypes</formula1>
    </dataValidation>
    <dataValidation type="list" allowBlank="1" showInputMessage="1" showErrorMessage="1" sqref="C177">
      <formula1>ControllerTypes</formula1>
    </dataValidation>
    <dataValidation type="list" allowBlank="1" showInputMessage="1" showErrorMessage="1" sqref="C178">
      <formula1>ControllerTypes</formula1>
    </dataValidation>
    <dataValidation type="list" allowBlank="1" showInputMessage="1" showErrorMessage="1" sqref="C179">
      <formula1>ControllerTypes</formula1>
    </dataValidation>
    <dataValidation type="list" allowBlank="1" showInputMessage="1" showErrorMessage="1" sqref="C180">
      <formula1>ControllerTypes</formula1>
    </dataValidation>
    <dataValidation type="list" allowBlank="1" showInputMessage="1" showErrorMessage="1" sqref="C181">
      <formula1>ControllerTypes</formula1>
    </dataValidation>
    <dataValidation type="list" allowBlank="1" showInputMessage="1" showErrorMessage="1" sqref="C182">
      <formula1>ControllerTypes</formula1>
    </dataValidation>
    <dataValidation type="list" allowBlank="1" showInputMessage="1" showErrorMessage="1" sqref="C183">
      <formula1>ControllerTypes</formula1>
    </dataValidation>
    <dataValidation type="list" allowBlank="1" showInputMessage="1" showErrorMessage="1" sqref="C184">
      <formula1>ControllerTypes</formula1>
    </dataValidation>
    <dataValidation type="list" allowBlank="1" showInputMessage="1" showErrorMessage="1" sqref="C185">
      <formula1>ControllerTypes</formula1>
    </dataValidation>
    <dataValidation type="list" allowBlank="1" showInputMessage="1" showErrorMessage="1" sqref="C186">
      <formula1>ControllerTypes</formula1>
    </dataValidation>
    <dataValidation type="list" allowBlank="1" showInputMessage="1" showErrorMessage="1" sqref="C187">
      <formula1>ControllerTypes</formula1>
    </dataValidation>
    <dataValidation type="list" allowBlank="1" showInputMessage="1" showErrorMessage="1" sqref="C188">
      <formula1>ControllerTypes</formula1>
    </dataValidation>
    <dataValidation type="list" allowBlank="1" showInputMessage="1" showErrorMessage="1" sqref="C189">
      <formula1>ControllerTypes</formula1>
    </dataValidation>
    <dataValidation type="list" allowBlank="1" showInputMessage="1" showErrorMessage="1" sqref="C190">
      <formula1>ControllerTypes</formula1>
    </dataValidation>
    <dataValidation type="list" allowBlank="1" showInputMessage="1" showErrorMessage="1" sqref="C191">
      <formula1>ControllerTypes</formula1>
    </dataValidation>
    <dataValidation type="list" allowBlank="1" showInputMessage="1" showErrorMessage="1" sqref="C192">
      <formula1>ControllerTypes</formula1>
    </dataValidation>
    <dataValidation type="list" allowBlank="1" showInputMessage="1" showErrorMessage="1" sqref="C193">
      <formula1>ControllerTypes</formula1>
    </dataValidation>
    <dataValidation type="list" allowBlank="1" showInputMessage="1" showErrorMessage="1" sqref="C194">
      <formula1>ControllerTypes</formula1>
    </dataValidation>
    <dataValidation type="list" allowBlank="1" showInputMessage="1" showErrorMessage="1" sqref="C195">
      <formula1>ControllerTypes</formula1>
    </dataValidation>
    <dataValidation type="list" allowBlank="1" showInputMessage="1" showErrorMessage="1" sqref="C196">
      <formula1>ControllerTypes</formula1>
    </dataValidation>
    <dataValidation type="list" allowBlank="1" showInputMessage="1" showErrorMessage="1" sqref="C197">
      <formula1>ControllerTypes</formula1>
    </dataValidation>
    <dataValidation type="list" allowBlank="1" showInputMessage="1" showErrorMessage="1" sqref="C198">
      <formula1>ControllerTypes</formula1>
    </dataValidation>
    <dataValidation type="list" allowBlank="1" showInputMessage="1" showErrorMessage="1" sqref="C199">
      <formula1>ControllerTypes</formula1>
    </dataValidation>
    <dataValidation type="list" allowBlank="1" showInputMessage="1" showErrorMessage="1" sqref="C200">
      <formula1>ControllerTypes</formula1>
    </dataValidation>
    <dataValidation type="list" allowBlank="1" showInputMessage="1" showErrorMessage="1" sqref="C201">
      <formula1>ControllerTypes</formula1>
    </dataValidation>
    <dataValidation type="list" allowBlank="1" showInputMessage="1" showErrorMessage="1" sqref="C202">
      <formula1>ControllerTypes</formula1>
    </dataValidation>
    <dataValidation type="list" allowBlank="1" showInputMessage="1" showErrorMessage="1" sqref="C203">
      <formula1>ControllerTypes</formula1>
    </dataValidation>
    <dataValidation type="list" allowBlank="1" showInputMessage="1" showErrorMessage="1" sqref="C204">
      <formula1>ControllerTypes</formula1>
    </dataValidation>
    <dataValidation type="list" allowBlank="1" showInputMessage="1" showErrorMessage="1" sqref="C205">
      <formula1>ControllerTypes</formula1>
    </dataValidation>
    <dataValidation type="list" allowBlank="1" showInputMessage="1" showErrorMessage="1" sqref="C206">
      <formula1>ControllerTypes</formula1>
    </dataValidation>
    <dataValidation type="list" allowBlank="1" showInputMessage="1" showErrorMessage="1" sqref="C207">
      <formula1>ControllerTypes</formula1>
    </dataValidation>
    <dataValidation type="list" allowBlank="1" showInputMessage="1" showErrorMessage="1" sqref="C208">
      <formula1>ControllerTypes</formula1>
    </dataValidation>
    <dataValidation type="list" allowBlank="1" showInputMessage="1" showErrorMessage="1" sqref="C209">
      <formula1>ControllerTypes</formula1>
    </dataValidation>
    <dataValidation type="list" allowBlank="1" showInputMessage="1" showErrorMessage="1" sqref="C210">
      <formula1>ControllerTypes</formula1>
    </dataValidation>
    <dataValidation type="list" allowBlank="1" showInputMessage="1" showErrorMessage="1" sqref="C211">
      <formula1>ControllerTypes</formula1>
    </dataValidation>
    <dataValidation type="list" allowBlank="1" showInputMessage="1" showErrorMessage="1" sqref="C212">
      <formula1>ControllerTypes</formula1>
    </dataValidation>
    <dataValidation type="list" allowBlank="1" showInputMessage="1" showErrorMessage="1" sqref="C213">
      <formula1>ControllerTypes</formula1>
    </dataValidation>
    <dataValidation type="list" allowBlank="1" showInputMessage="1" showErrorMessage="1" sqref="C214">
      <formula1>ControllerTypes</formula1>
    </dataValidation>
    <dataValidation type="list" allowBlank="1" showInputMessage="1" showErrorMessage="1" sqref="C215">
      <formula1>ControllerTypes</formula1>
    </dataValidation>
    <dataValidation type="list" allowBlank="1" showInputMessage="1" showErrorMessage="1" sqref="C216">
      <formula1>ControllerTypes</formula1>
    </dataValidation>
    <dataValidation type="list" allowBlank="1" showInputMessage="1" showErrorMessage="1" sqref="C217">
      <formula1>ControllerTypes</formula1>
    </dataValidation>
    <dataValidation type="list" allowBlank="1" showInputMessage="1" showErrorMessage="1" sqref="C218">
      <formula1>ControllerTypes</formula1>
    </dataValidation>
    <dataValidation type="list" allowBlank="1" showInputMessage="1" showErrorMessage="1" sqref="C219">
      <formula1>ControllerTypes</formula1>
    </dataValidation>
    <dataValidation type="list" allowBlank="1" showInputMessage="1" showErrorMessage="1" sqref="C220">
      <formula1>ControllerTypes</formula1>
    </dataValidation>
    <dataValidation type="list" allowBlank="1" showInputMessage="1" showErrorMessage="1" sqref="C221">
      <formula1>ControllerTypes</formula1>
    </dataValidation>
    <dataValidation type="list" allowBlank="1" showInputMessage="1" showErrorMessage="1" sqref="C222">
      <formula1>ControllerTypes</formula1>
    </dataValidation>
    <dataValidation type="list" allowBlank="1" showInputMessage="1" showErrorMessage="1" sqref="C223">
      <formula1>ControllerTypes</formula1>
    </dataValidation>
    <dataValidation type="list" allowBlank="1" showInputMessage="1" showErrorMessage="1" sqref="C224">
      <formula1>ControllerTypes</formula1>
    </dataValidation>
    <dataValidation type="list" allowBlank="1" showInputMessage="1" showErrorMessage="1" sqref="C225">
      <formula1>ControllerTypes</formula1>
    </dataValidation>
    <dataValidation type="list" allowBlank="1" showInputMessage="1" showErrorMessage="1" sqref="C226">
      <formula1>ControllerTypes</formula1>
    </dataValidation>
    <dataValidation type="list" allowBlank="1" showInputMessage="1" showErrorMessage="1" sqref="C227">
      <formula1>ControllerTypes</formula1>
    </dataValidation>
    <dataValidation type="list" allowBlank="1" showInputMessage="1" showErrorMessage="1" sqref="C228">
      <formula1>ControllerTypes</formula1>
    </dataValidation>
    <dataValidation type="list" allowBlank="1" showInputMessage="1" showErrorMessage="1" sqref="C229">
      <formula1>ControllerTypes</formula1>
    </dataValidation>
    <dataValidation type="list" allowBlank="1" showInputMessage="1" showErrorMessage="1" sqref="C230">
      <formula1>ControllerTypes</formula1>
    </dataValidation>
    <dataValidation type="list" allowBlank="1" showInputMessage="1" showErrorMessage="1" sqref="C231">
      <formula1>ControllerTypes</formula1>
    </dataValidation>
    <dataValidation type="list" allowBlank="1" showInputMessage="1" showErrorMessage="1" sqref="C232">
      <formula1>ControllerTypes</formula1>
    </dataValidation>
    <dataValidation type="list" allowBlank="1" showInputMessage="1" showErrorMessage="1" sqref="C233">
      <formula1>ControllerTypes</formula1>
    </dataValidation>
    <dataValidation type="list" allowBlank="1" showInputMessage="1" showErrorMessage="1" sqref="C234">
      <formula1>ControllerTypes</formula1>
    </dataValidation>
    <dataValidation type="list" allowBlank="1" showInputMessage="1" showErrorMessage="1" sqref="C235">
      <formula1>ControllerTypes</formula1>
    </dataValidation>
    <dataValidation type="list" allowBlank="1" showInputMessage="1" showErrorMessage="1" sqref="C236">
      <formula1>ControllerTypes</formula1>
    </dataValidation>
    <dataValidation type="list" allowBlank="1" showInputMessage="1" showErrorMessage="1" sqref="C237">
      <formula1>ControllerTypes</formula1>
    </dataValidation>
    <dataValidation type="list" allowBlank="1" showInputMessage="1" showErrorMessage="1" sqref="C238">
      <formula1>ControllerTypes</formula1>
    </dataValidation>
    <dataValidation type="list" allowBlank="1" showInputMessage="1" showErrorMessage="1" sqref="C239">
      <formula1>ControllerTypes</formula1>
    </dataValidation>
    <dataValidation type="list" allowBlank="1" showInputMessage="1" showErrorMessage="1" sqref="C240">
      <formula1>ControllerTypes</formula1>
    </dataValidation>
    <dataValidation type="list" allowBlank="1" showInputMessage="1" showErrorMessage="1" sqref="C241">
      <formula1>ControllerTypes</formula1>
    </dataValidation>
    <dataValidation type="list" allowBlank="1" showInputMessage="1" showErrorMessage="1" sqref="C242">
      <formula1>ControllerTypes</formula1>
    </dataValidation>
    <dataValidation type="list" allowBlank="1" showInputMessage="1" showErrorMessage="1" sqref="C243">
      <formula1>ControllerTypes</formula1>
    </dataValidation>
    <dataValidation type="list" allowBlank="1" showInputMessage="1" showErrorMessage="1" sqref="C244">
      <formula1>ControllerTypes</formula1>
    </dataValidation>
    <dataValidation type="list" allowBlank="1" showInputMessage="1" showErrorMessage="1" sqref="C245">
      <formula1>ControllerTypes</formula1>
    </dataValidation>
    <dataValidation type="list" allowBlank="1" showInputMessage="1" showErrorMessage="1" sqref="C246">
      <formula1>ControllerTypes</formula1>
    </dataValidation>
    <dataValidation type="list" allowBlank="1" showInputMessage="1" showErrorMessage="1" sqref="C247">
      <formula1>ControllerTypes</formula1>
    </dataValidation>
    <dataValidation type="list" allowBlank="1" showInputMessage="1" showErrorMessage="1" sqref="C248">
      <formula1>ControllerTypes</formula1>
    </dataValidation>
    <dataValidation type="list" allowBlank="1" showInputMessage="1" showErrorMessage="1" sqref="C249">
      <formula1>ControllerTypes</formula1>
    </dataValidation>
    <dataValidation type="list" allowBlank="1" showInputMessage="1" showErrorMessage="1" sqref="C250">
      <formula1>ControllerTypes</formula1>
    </dataValidation>
    <dataValidation type="list" allowBlank="1" showInputMessage="1" showErrorMessage="1" sqref="C251">
      <formula1>ControllerTypes</formula1>
    </dataValidation>
    <dataValidation type="list" allowBlank="1" showInputMessage="1" showErrorMessage="1" sqref="C252">
      <formula1>ControllerTypes</formula1>
    </dataValidation>
    <dataValidation type="list" allowBlank="1" showInputMessage="1" showErrorMessage="1" sqref="C253">
      <formula1>ControllerTypes</formula1>
    </dataValidation>
    <dataValidation type="list" allowBlank="1" showInputMessage="1" showErrorMessage="1" sqref="C254">
      <formula1>ControllerTypes</formula1>
    </dataValidation>
    <dataValidation type="list" allowBlank="1" showInputMessage="1" showErrorMessage="1" sqref="C255">
      <formula1>ControllerTypes</formula1>
    </dataValidation>
    <dataValidation type="list" allowBlank="1" showInputMessage="1" showErrorMessage="1" sqref="C256">
      <formula1>ControllerTypes</formula1>
    </dataValidation>
    <dataValidation type="list" allowBlank="1" showInputMessage="1" showErrorMessage="1" sqref="C257">
      <formula1>ControllerTypes</formula1>
    </dataValidation>
    <dataValidation type="list" allowBlank="1" showInputMessage="1" showErrorMessage="1" sqref="C258">
      <formula1>ControllerTypes</formula1>
    </dataValidation>
    <dataValidation type="list" allowBlank="1" showInputMessage="1" showErrorMessage="1" sqref="C259">
      <formula1>ControllerTypes</formula1>
    </dataValidation>
    <dataValidation type="list" allowBlank="1" showInputMessage="1" showErrorMessage="1" sqref="C260">
      <formula1>ControllerTypes</formula1>
    </dataValidation>
    <dataValidation type="list" allowBlank="1" showInputMessage="1" showErrorMessage="1" sqref="C261">
      <formula1>ControllerTypes</formula1>
    </dataValidation>
    <dataValidation type="list" allowBlank="1" showInputMessage="1" showErrorMessage="1" sqref="C262">
      <formula1>ControllerTypes</formula1>
    </dataValidation>
    <dataValidation type="list" allowBlank="1" showInputMessage="1" showErrorMessage="1" sqref="C263">
      <formula1>ControllerTypes</formula1>
    </dataValidation>
    <dataValidation type="list" allowBlank="1" showInputMessage="1" showErrorMessage="1" sqref="C264">
      <formula1>ControllerTypes</formula1>
    </dataValidation>
    <dataValidation type="list" allowBlank="1" showInputMessage="1" showErrorMessage="1" sqref="C265">
      <formula1>ControllerTypes</formula1>
    </dataValidation>
    <dataValidation type="list" allowBlank="1" showInputMessage="1" showErrorMessage="1" sqref="C266">
      <formula1>ControllerTypes</formula1>
    </dataValidation>
    <dataValidation type="list" allowBlank="1" showInputMessage="1" showErrorMessage="1" sqref="C267">
      <formula1>ControllerTypes</formula1>
    </dataValidation>
    <dataValidation type="list" allowBlank="1" showInputMessage="1" showErrorMessage="1" sqref="C268">
      <formula1>ControllerTypes</formula1>
    </dataValidation>
    <dataValidation type="list" allowBlank="1" showInputMessage="1" showErrorMessage="1" sqref="C269">
      <formula1>ControllerTypes</formula1>
    </dataValidation>
    <dataValidation type="list" allowBlank="1" showInputMessage="1" showErrorMessage="1" sqref="C270">
      <formula1>ControllerTypes</formula1>
    </dataValidation>
    <dataValidation type="list" allowBlank="1" showInputMessage="1" showErrorMessage="1" sqref="C271">
      <formula1>ControllerTypes</formula1>
    </dataValidation>
    <dataValidation type="list" allowBlank="1" showInputMessage="1" showErrorMessage="1" sqref="C272">
      <formula1>ControllerTypes</formula1>
    </dataValidation>
    <dataValidation type="list" allowBlank="1" showInputMessage="1" showErrorMessage="1" sqref="C273">
      <formula1>ControllerTypes</formula1>
    </dataValidation>
    <dataValidation type="list" allowBlank="1" showInputMessage="1" showErrorMessage="1" sqref="C274">
      <formula1>ControllerTypes</formula1>
    </dataValidation>
    <dataValidation type="list" allowBlank="1" showInputMessage="1" showErrorMessage="1" sqref="C275">
      <formula1>ControllerTypes</formula1>
    </dataValidation>
    <dataValidation type="list" allowBlank="1" showInputMessage="1" showErrorMessage="1" sqref="C276">
      <formula1>ControllerTypes</formula1>
    </dataValidation>
    <dataValidation type="list" allowBlank="1" showInputMessage="1" showErrorMessage="1" sqref="C277">
      <formula1>ControllerTypes</formula1>
    </dataValidation>
    <dataValidation type="list" allowBlank="1" showInputMessage="1" showErrorMessage="1" sqref="C278">
      <formula1>ControllerTypes</formula1>
    </dataValidation>
    <dataValidation type="list" allowBlank="1" showInputMessage="1" showErrorMessage="1" sqref="C279">
      <formula1>ControllerTypes</formula1>
    </dataValidation>
    <dataValidation type="list" allowBlank="1" showInputMessage="1" showErrorMessage="1" sqref="C280">
      <formula1>ControllerTypes</formula1>
    </dataValidation>
    <dataValidation type="list" allowBlank="1" showInputMessage="1" showErrorMessage="1" sqref="C281">
      <formula1>ControllerTypes</formula1>
    </dataValidation>
    <dataValidation type="list" allowBlank="1" showInputMessage="1" showErrorMessage="1" sqref="C282">
      <formula1>ControllerTypes</formula1>
    </dataValidation>
    <dataValidation type="list" allowBlank="1" showInputMessage="1" showErrorMessage="1" sqref="C283">
      <formula1>ControllerTypes</formula1>
    </dataValidation>
    <dataValidation type="list" allowBlank="1" showInputMessage="1" showErrorMessage="1" sqref="C284">
      <formula1>ControllerTypes</formula1>
    </dataValidation>
    <dataValidation type="list" allowBlank="1" showInputMessage="1" showErrorMessage="1" sqref="C285">
      <formula1>ControllerTypes</formula1>
    </dataValidation>
    <dataValidation type="list" allowBlank="1" showInputMessage="1" showErrorMessage="1" sqref="C286">
      <formula1>ControllerTypes</formula1>
    </dataValidation>
    <dataValidation type="list" allowBlank="1" showInputMessage="1" showErrorMessage="1" sqref="C287">
      <formula1>ControllerTypes</formula1>
    </dataValidation>
    <dataValidation type="list" allowBlank="1" showInputMessage="1" showErrorMessage="1" sqref="C288">
      <formula1>ControllerTypes</formula1>
    </dataValidation>
    <dataValidation type="list" allowBlank="1" showInputMessage="1" showErrorMessage="1" sqref="C289">
      <formula1>ControllerTypes</formula1>
    </dataValidation>
    <dataValidation type="list" allowBlank="1" showInputMessage="1" showErrorMessage="1" sqref="C290">
      <formula1>ControllerTypes</formula1>
    </dataValidation>
    <dataValidation type="list" allowBlank="1" showInputMessage="1" showErrorMessage="1" sqref="C291">
      <formula1>ControllerTypes</formula1>
    </dataValidation>
    <dataValidation type="list" allowBlank="1" showInputMessage="1" showErrorMessage="1" sqref="C292">
      <formula1>ControllerTypes</formula1>
    </dataValidation>
    <dataValidation type="list" allowBlank="1" showInputMessage="1" showErrorMessage="1" sqref="C293">
      <formula1>ControllerTypes</formula1>
    </dataValidation>
    <dataValidation type="list" allowBlank="1" showInputMessage="1" showErrorMessage="1" sqref="C294">
      <formula1>ControllerTypes</formula1>
    </dataValidation>
    <dataValidation type="list" allowBlank="1" showInputMessage="1" showErrorMessage="1" sqref="C295">
      <formula1>ControllerTypes</formula1>
    </dataValidation>
    <dataValidation type="list" allowBlank="1" showInputMessage="1" showErrorMessage="1" sqref="C296">
      <formula1>ControllerTypes</formula1>
    </dataValidation>
    <dataValidation type="list" allowBlank="1" showInputMessage="1" showErrorMessage="1" sqref="C297">
      <formula1>ControllerTypes</formula1>
    </dataValidation>
    <dataValidation type="list" allowBlank="1" showInputMessage="1" showErrorMessage="1" sqref="C298">
      <formula1>ControllerTypes</formula1>
    </dataValidation>
    <dataValidation type="list" allowBlank="1" showInputMessage="1" showErrorMessage="1" sqref="C299">
      <formula1>ControllerTypes</formula1>
    </dataValidation>
    <dataValidation type="list" allowBlank="1" showInputMessage="1" showErrorMessage="1" sqref="C300">
      <formula1>ControllerTypes</formula1>
    </dataValidation>
    <dataValidation type="list" allowBlank="1" showInputMessage="1" showErrorMessage="1" sqref="C301">
      <formula1>ControllerTypes</formula1>
    </dataValidation>
    <dataValidation type="list" allowBlank="1" showInputMessage="1" showErrorMessage="1" sqref="C302">
      <formula1>ControllerTypes</formula1>
    </dataValidation>
    <dataValidation type="list" allowBlank="1" showInputMessage="1" showErrorMessage="1" sqref="C303">
      <formula1>ControllerTypes</formula1>
    </dataValidation>
    <dataValidation type="list" allowBlank="1" showInputMessage="1" showErrorMessage="1" sqref="D4">
      <formula1>DriveStyles</formula1>
    </dataValidation>
    <dataValidation type="list" allowBlank="1" showInputMessage="1" showErrorMessage="1" sqref="D5">
      <formula1>DriveStyles</formula1>
    </dataValidation>
    <dataValidation type="list" allowBlank="1" showInputMessage="1" showErrorMessage="1" sqref="D6">
      <formula1>DriveStyles</formula1>
    </dataValidation>
    <dataValidation type="list" allowBlank="1" showInputMessage="1" showErrorMessage="1" sqref="D7">
      <formula1>DriveStyles</formula1>
    </dataValidation>
    <dataValidation type="list" allowBlank="1" showInputMessage="1" showErrorMessage="1" sqref="D8">
      <formula1>DriveStyles</formula1>
    </dataValidation>
    <dataValidation type="list" allowBlank="1" showInputMessage="1" showErrorMessage="1" sqref="D9">
      <formula1>DriveStyles</formula1>
    </dataValidation>
    <dataValidation type="list" allowBlank="1" showInputMessage="1" showErrorMessage="1" sqref="D10">
      <formula1>DriveStyles</formula1>
    </dataValidation>
    <dataValidation type="list" allowBlank="1" showInputMessage="1" showErrorMessage="1" sqref="D11">
      <formula1>DriveStyles</formula1>
    </dataValidation>
    <dataValidation type="list" allowBlank="1" showInputMessage="1" showErrorMessage="1" sqref="D12">
      <formula1>DriveStyles</formula1>
    </dataValidation>
    <dataValidation type="list" allowBlank="1" showInputMessage="1" showErrorMessage="1" sqref="D13">
      <formula1>DriveStyles</formula1>
    </dataValidation>
    <dataValidation type="list" allowBlank="1" showInputMessage="1" showErrorMessage="1" sqref="D14">
      <formula1>DriveStyles</formula1>
    </dataValidation>
    <dataValidation type="list" allowBlank="1" showInputMessage="1" showErrorMessage="1" sqref="D15">
      <formula1>DriveStyles</formula1>
    </dataValidation>
    <dataValidation type="list" allowBlank="1" showInputMessage="1" showErrorMessage="1" sqref="D16">
      <formula1>DriveStyles</formula1>
    </dataValidation>
    <dataValidation type="list" allowBlank="1" showInputMessage="1" showErrorMessage="1" sqref="D17">
      <formula1>DriveStyles</formula1>
    </dataValidation>
    <dataValidation type="list" allowBlank="1" showInputMessage="1" showErrorMessage="1" sqref="D18">
      <formula1>DriveStyles</formula1>
    </dataValidation>
    <dataValidation type="list" allowBlank="1" showInputMessage="1" showErrorMessage="1" sqref="D19">
      <formula1>DriveStyles</formula1>
    </dataValidation>
    <dataValidation type="list" allowBlank="1" showInputMessage="1" showErrorMessage="1" sqref="D20">
      <formula1>DriveStyles</formula1>
    </dataValidation>
    <dataValidation type="list" allowBlank="1" showInputMessage="1" showErrorMessage="1" sqref="D21">
      <formula1>DriveStyles</formula1>
    </dataValidation>
    <dataValidation type="list" allowBlank="1" showInputMessage="1" showErrorMessage="1" sqref="D22">
      <formula1>DriveStyles</formula1>
    </dataValidation>
    <dataValidation type="list" allowBlank="1" showInputMessage="1" showErrorMessage="1" sqref="D23">
      <formula1>DriveStyles</formula1>
    </dataValidation>
    <dataValidation type="list" allowBlank="1" showInputMessage="1" showErrorMessage="1" sqref="D24">
      <formula1>DriveStyles</formula1>
    </dataValidation>
    <dataValidation type="list" allowBlank="1" showInputMessage="1" showErrorMessage="1" sqref="D25">
      <formula1>DriveStyles</formula1>
    </dataValidation>
    <dataValidation type="list" allowBlank="1" showInputMessage="1" showErrorMessage="1" sqref="D26">
      <formula1>DriveStyles</formula1>
    </dataValidation>
    <dataValidation type="list" allowBlank="1" showInputMessage="1" showErrorMessage="1" sqref="D27">
      <formula1>DriveStyles</formula1>
    </dataValidation>
    <dataValidation type="list" allowBlank="1" showInputMessage="1" showErrorMessage="1" sqref="D28">
      <formula1>DriveStyles</formula1>
    </dataValidation>
    <dataValidation type="list" allowBlank="1" showInputMessage="1" showErrorMessage="1" sqref="D29">
      <formula1>DriveStyles</formula1>
    </dataValidation>
    <dataValidation type="list" allowBlank="1" showInputMessage="1" showErrorMessage="1" sqref="D30">
      <formula1>DriveStyles</formula1>
    </dataValidation>
    <dataValidation type="list" allowBlank="1" showInputMessage="1" showErrorMessage="1" sqref="D31">
      <formula1>DriveStyles</formula1>
    </dataValidation>
    <dataValidation type="list" allowBlank="1" showInputMessage="1" showErrorMessage="1" sqref="D32">
      <formula1>DriveStyles</formula1>
    </dataValidation>
    <dataValidation type="list" allowBlank="1" showInputMessage="1" showErrorMessage="1" sqref="D33">
      <formula1>DriveStyles</formula1>
    </dataValidation>
    <dataValidation type="list" allowBlank="1" showInputMessage="1" showErrorMessage="1" sqref="D34">
      <formula1>DriveStyles</formula1>
    </dataValidation>
    <dataValidation type="list" allowBlank="1" showInputMessage="1" showErrorMessage="1" sqref="D35">
      <formula1>DriveStyles</formula1>
    </dataValidation>
    <dataValidation type="list" allowBlank="1" showInputMessage="1" showErrorMessage="1" sqref="D36">
      <formula1>DriveStyles</formula1>
    </dataValidation>
    <dataValidation type="list" allowBlank="1" showInputMessage="1" showErrorMessage="1" sqref="D37">
      <formula1>DriveStyles</formula1>
    </dataValidation>
    <dataValidation type="list" allowBlank="1" showInputMessage="1" showErrorMessage="1" sqref="D38">
      <formula1>DriveStyles</formula1>
    </dataValidation>
    <dataValidation type="list" allowBlank="1" showInputMessage="1" showErrorMessage="1" sqref="D39">
      <formula1>DriveStyles</formula1>
    </dataValidation>
    <dataValidation type="list" allowBlank="1" showInputMessage="1" showErrorMessage="1" sqref="D40">
      <formula1>DriveStyles</formula1>
    </dataValidation>
    <dataValidation type="list" allowBlank="1" showInputMessage="1" showErrorMessage="1" sqref="D41">
      <formula1>DriveStyles</formula1>
    </dataValidation>
    <dataValidation type="list" allowBlank="1" showInputMessage="1" showErrorMessage="1" sqref="D42">
      <formula1>DriveStyles</formula1>
    </dataValidation>
    <dataValidation type="list" allowBlank="1" showInputMessage="1" showErrorMessage="1" sqref="D43">
      <formula1>DriveStyles</formula1>
    </dataValidation>
    <dataValidation type="list" allowBlank="1" showInputMessage="1" showErrorMessage="1" sqref="D44">
      <formula1>DriveStyles</formula1>
    </dataValidation>
    <dataValidation type="list" allowBlank="1" showInputMessage="1" showErrorMessage="1" sqref="D45">
      <formula1>DriveStyles</formula1>
    </dataValidation>
    <dataValidation type="list" allowBlank="1" showInputMessage="1" showErrorMessage="1" sqref="D46">
      <formula1>DriveStyles</formula1>
    </dataValidation>
    <dataValidation type="list" allowBlank="1" showInputMessage="1" showErrorMessage="1" sqref="D47">
      <formula1>DriveStyles</formula1>
    </dataValidation>
    <dataValidation type="list" allowBlank="1" showInputMessage="1" showErrorMessage="1" sqref="D48">
      <formula1>DriveStyles</formula1>
    </dataValidation>
    <dataValidation type="list" allowBlank="1" showInputMessage="1" showErrorMessage="1" sqref="D49">
      <formula1>DriveStyles</formula1>
    </dataValidation>
    <dataValidation type="list" allowBlank="1" showInputMessage="1" showErrorMessage="1" sqref="D50">
      <formula1>DriveStyles</formula1>
    </dataValidation>
    <dataValidation type="list" allowBlank="1" showInputMessage="1" showErrorMessage="1" sqref="D51">
      <formula1>DriveStyles</formula1>
    </dataValidation>
    <dataValidation type="list" allowBlank="1" showInputMessage="1" showErrorMessage="1" sqref="D52">
      <formula1>DriveStyles</formula1>
    </dataValidation>
    <dataValidation type="list" allowBlank="1" showInputMessage="1" showErrorMessage="1" sqref="D53">
      <formula1>DriveStyles</formula1>
    </dataValidation>
    <dataValidation type="list" allowBlank="1" showInputMessage="1" showErrorMessage="1" sqref="D54">
      <formula1>DriveStyles</formula1>
    </dataValidation>
    <dataValidation type="list" allowBlank="1" showInputMessage="1" showErrorMessage="1" sqref="D55">
      <formula1>DriveStyles</formula1>
    </dataValidation>
    <dataValidation type="list" allowBlank="1" showInputMessage="1" showErrorMessage="1" sqref="D56">
      <formula1>DriveStyles</formula1>
    </dataValidation>
    <dataValidation type="list" allowBlank="1" showInputMessage="1" showErrorMessage="1" sqref="D57">
      <formula1>DriveStyles</formula1>
    </dataValidation>
    <dataValidation type="list" allowBlank="1" showInputMessage="1" showErrorMessage="1" sqref="D58">
      <formula1>DriveStyles</formula1>
    </dataValidation>
    <dataValidation type="list" allowBlank="1" showInputMessage="1" showErrorMessage="1" sqref="D59">
      <formula1>DriveStyles</formula1>
    </dataValidation>
    <dataValidation type="list" allowBlank="1" showInputMessage="1" showErrorMessage="1" sqref="D60">
      <formula1>DriveStyles</formula1>
    </dataValidation>
    <dataValidation type="list" allowBlank="1" showInputMessage="1" showErrorMessage="1" sqref="D61">
      <formula1>DriveStyles</formula1>
    </dataValidation>
    <dataValidation type="list" allowBlank="1" showInputMessage="1" showErrorMessage="1" sqref="D62">
      <formula1>DriveStyles</formula1>
    </dataValidation>
    <dataValidation type="list" allowBlank="1" showInputMessage="1" showErrorMessage="1" sqref="D63">
      <formula1>DriveStyles</formula1>
    </dataValidation>
    <dataValidation type="list" allowBlank="1" showInputMessage="1" showErrorMessage="1" sqref="D64">
      <formula1>DriveStyles</formula1>
    </dataValidation>
    <dataValidation type="list" allowBlank="1" showInputMessage="1" showErrorMessage="1" sqref="D65">
      <formula1>DriveStyles</formula1>
    </dataValidation>
    <dataValidation type="list" allowBlank="1" showInputMessage="1" showErrorMessage="1" sqref="D66">
      <formula1>DriveStyles</formula1>
    </dataValidation>
    <dataValidation type="list" allowBlank="1" showInputMessage="1" showErrorMessage="1" sqref="D67">
      <formula1>DriveStyles</formula1>
    </dataValidation>
    <dataValidation type="list" allowBlank="1" showInputMessage="1" showErrorMessage="1" sqref="D68">
      <formula1>DriveStyles</formula1>
    </dataValidation>
    <dataValidation type="list" allowBlank="1" showInputMessage="1" showErrorMessage="1" sqref="D69">
      <formula1>DriveStyles</formula1>
    </dataValidation>
    <dataValidation type="list" allowBlank="1" showInputMessage="1" showErrorMessage="1" sqref="D70">
      <formula1>DriveStyles</formula1>
    </dataValidation>
    <dataValidation type="list" allowBlank="1" showInputMessage="1" showErrorMessage="1" sqref="D71">
      <formula1>DriveStyles</formula1>
    </dataValidation>
    <dataValidation type="list" allowBlank="1" showInputMessage="1" showErrorMessage="1" sqref="D72">
      <formula1>DriveStyles</formula1>
    </dataValidation>
    <dataValidation type="list" allowBlank="1" showInputMessage="1" showErrorMessage="1" sqref="D73">
      <formula1>DriveStyles</formula1>
    </dataValidation>
    <dataValidation type="list" allowBlank="1" showInputMessage="1" showErrorMessage="1" sqref="D74">
      <formula1>DriveStyles</formula1>
    </dataValidation>
    <dataValidation type="list" allowBlank="1" showInputMessage="1" showErrorMessage="1" sqref="D75">
      <formula1>DriveStyles</formula1>
    </dataValidation>
    <dataValidation type="list" allowBlank="1" showInputMessage="1" showErrorMessage="1" sqref="D76">
      <formula1>DriveStyles</formula1>
    </dataValidation>
    <dataValidation type="list" allowBlank="1" showInputMessage="1" showErrorMessage="1" sqref="D77">
      <formula1>DriveStyles</formula1>
    </dataValidation>
    <dataValidation type="list" allowBlank="1" showInputMessage="1" showErrorMessage="1" sqref="D78">
      <formula1>DriveStyles</formula1>
    </dataValidation>
    <dataValidation type="list" allowBlank="1" showInputMessage="1" showErrorMessage="1" sqref="D79">
      <formula1>DriveStyles</formula1>
    </dataValidation>
    <dataValidation type="list" allowBlank="1" showInputMessage="1" showErrorMessage="1" sqref="D80">
      <formula1>DriveStyles</formula1>
    </dataValidation>
    <dataValidation type="list" allowBlank="1" showInputMessage="1" showErrorMessage="1" sqref="D81">
      <formula1>DriveStyles</formula1>
    </dataValidation>
    <dataValidation type="list" allowBlank="1" showInputMessage="1" showErrorMessage="1" sqref="D82">
      <formula1>DriveStyles</formula1>
    </dataValidation>
    <dataValidation type="list" allowBlank="1" showInputMessage="1" showErrorMessage="1" sqref="D83">
      <formula1>DriveStyles</formula1>
    </dataValidation>
    <dataValidation type="list" allowBlank="1" showInputMessage="1" showErrorMessage="1" sqref="D84">
      <formula1>DriveStyles</formula1>
    </dataValidation>
    <dataValidation type="list" allowBlank="1" showInputMessage="1" showErrorMessage="1" sqref="D85">
      <formula1>DriveStyles</formula1>
    </dataValidation>
    <dataValidation type="list" allowBlank="1" showInputMessage="1" showErrorMessage="1" sqref="D86">
      <formula1>DriveStyles</formula1>
    </dataValidation>
    <dataValidation type="list" allowBlank="1" showInputMessage="1" showErrorMessage="1" sqref="D87">
      <formula1>DriveStyles</formula1>
    </dataValidation>
    <dataValidation type="list" allowBlank="1" showInputMessage="1" showErrorMessage="1" sqref="D88">
      <formula1>DriveStyles</formula1>
    </dataValidation>
    <dataValidation type="list" allowBlank="1" showInputMessage="1" showErrorMessage="1" sqref="D89">
      <formula1>DriveStyles</formula1>
    </dataValidation>
    <dataValidation type="list" allowBlank="1" showInputMessage="1" showErrorMessage="1" sqref="D90">
      <formula1>DriveStyles</formula1>
    </dataValidation>
    <dataValidation type="list" allowBlank="1" showInputMessage="1" showErrorMessage="1" sqref="D91">
      <formula1>DriveStyles</formula1>
    </dataValidation>
    <dataValidation type="list" allowBlank="1" showInputMessage="1" showErrorMessage="1" sqref="D92">
      <formula1>DriveStyles</formula1>
    </dataValidation>
    <dataValidation type="list" allowBlank="1" showInputMessage="1" showErrorMessage="1" sqref="D93">
      <formula1>DriveStyles</formula1>
    </dataValidation>
    <dataValidation type="list" allowBlank="1" showInputMessage="1" showErrorMessage="1" sqref="D94">
      <formula1>DriveStyles</formula1>
    </dataValidation>
    <dataValidation type="list" allowBlank="1" showInputMessage="1" showErrorMessage="1" sqref="D95">
      <formula1>DriveStyles</formula1>
    </dataValidation>
    <dataValidation type="list" allowBlank="1" showInputMessage="1" showErrorMessage="1" sqref="D96">
      <formula1>DriveStyles</formula1>
    </dataValidation>
    <dataValidation type="list" allowBlank="1" showInputMessage="1" showErrorMessage="1" sqref="D97">
      <formula1>DriveStyles</formula1>
    </dataValidation>
    <dataValidation type="list" allowBlank="1" showInputMessage="1" showErrorMessage="1" sqref="D98">
      <formula1>DriveStyles</formula1>
    </dataValidation>
    <dataValidation type="list" allowBlank="1" showInputMessage="1" showErrorMessage="1" sqref="D99">
      <formula1>DriveStyles</formula1>
    </dataValidation>
    <dataValidation type="list" allowBlank="1" showInputMessage="1" showErrorMessage="1" sqref="D100">
      <formula1>DriveStyles</formula1>
    </dataValidation>
    <dataValidation type="list" allowBlank="1" showInputMessage="1" showErrorMessage="1" sqref="D101">
      <formula1>DriveStyles</formula1>
    </dataValidation>
    <dataValidation type="list" allowBlank="1" showInputMessage="1" showErrorMessage="1" sqref="D102">
      <formula1>DriveStyles</formula1>
    </dataValidation>
    <dataValidation type="list" allowBlank="1" showInputMessage="1" showErrorMessage="1" sqref="D103">
      <formula1>DriveStyles</formula1>
    </dataValidation>
    <dataValidation type="list" allowBlank="1" showInputMessage="1" showErrorMessage="1" sqref="D104">
      <formula1>DriveStyles</formula1>
    </dataValidation>
    <dataValidation type="list" allowBlank="1" showInputMessage="1" showErrorMessage="1" sqref="D105">
      <formula1>DriveStyles</formula1>
    </dataValidation>
    <dataValidation type="list" allowBlank="1" showInputMessage="1" showErrorMessage="1" sqref="D106">
      <formula1>DriveStyles</formula1>
    </dataValidation>
    <dataValidation type="list" allowBlank="1" showInputMessage="1" showErrorMessage="1" sqref="D107">
      <formula1>DriveStyles</formula1>
    </dataValidation>
    <dataValidation type="list" allowBlank="1" showInputMessage="1" showErrorMessage="1" sqref="D108">
      <formula1>DriveStyles</formula1>
    </dataValidation>
    <dataValidation type="list" allowBlank="1" showInputMessage="1" showErrorMessage="1" sqref="D109">
      <formula1>DriveStyles</formula1>
    </dataValidation>
    <dataValidation type="list" allowBlank="1" showInputMessage="1" showErrorMessage="1" sqref="D110">
      <formula1>DriveStyles</formula1>
    </dataValidation>
    <dataValidation type="list" allowBlank="1" showInputMessage="1" showErrorMessage="1" sqref="D111">
      <formula1>DriveStyles</formula1>
    </dataValidation>
    <dataValidation type="list" allowBlank="1" showInputMessage="1" showErrorMessage="1" sqref="D112">
      <formula1>DriveStyles</formula1>
    </dataValidation>
    <dataValidation type="list" allowBlank="1" showInputMessage="1" showErrorMessage="1" sqref="D113">
      <formula1>DriveStyles</formula1>
    </dataValidation>
    <dataValidation type="list" allowBlank="1" showInputMessage="1" showErrorMessage="1" sqref="D114">
      <formula1>DriveStyles</formula1>
    </dataValidation>
    <dataValidation type="list" allowBlank="1" showInputMessage="1" showErrorMessage="1" sqref="D115">
      <formula1>DriveStyles</formula1>
    </dataValidation>
    <dataValidation type="list" allowBlank="1" showInputMessage="1" showErrorMessage="1" sqref="D116">
      <formula1>DriveStyles</formula1>
    </dataValidation>
    <dataValidation type="list" allowBlank="1" showInputMessage="1" showErrorMessage="1" sqref="D117">
      <formula1>DriveStyles</formula1>
    </dataValidation>
    <dataValidation type="list" allowBlank="1" showInputMessage="1" showErrorMessage="1" sqref="D118">
      <formula1>DriveStyles</formula1>
    </dataValidation>
    <dataValidation type="list" allowBlank="1" showInputMessage="1" showErrorMessage="1" sqref="D119">
      <formula1>DriveStyles</formula1>
    </dataValidation>
    <dataValidation type="list" allowBlank="1" showInputMessage="1" showErrorMessage="1" sqref="D120">
      <formula1>DriveStyles</formula1>
    </dataValidation>
    <dataValidation type="list" allowBlank="1" showInputMessage="1" showErrorMessage="1" sqref="D121">
      <formula1>DriveStyles</formula1>
    </dataValidation>
    <dataValidation type="list" allowBlank="1" showInputMessage="1" showErrorMessage="1" sqref="D122">
      <formula1>DriveStyles</formula1>
    </dataValidation>
    <dataValidation type="list" allowBlank="1" showInputMessage="1" showErrorMessage="1" sqref="D123">
      <formula1>DriveStyles</formula1>
    </dataValidation>
    <dataValidation type="list" allowBlank="1" showInputMessage="1" showErrorMessage="1" sqref="D124">
      <formula1>DriveStyles</formula1>
    </dataValidation>
    <dataValidation type="list" allowBlank="1" showInputMessage="1" showErrorMessage="1" sqref="D125">
      <formula1>DriveStyles</formula1>
    </dataValidation>
    <dataValidation type="list" allowBlank="1" showInputMessage="1" showErrorMessage="1" sqref="D126">
      <formula1>DriveStyles</formula1>
    </dataValidation>
    <dataValidation type="list" allowBlank="1" showInputMessage="1" showErrorMessage="1" sqref="D127">
      <formula1>DriveStyles</formula1>
    </dataValidation>
    <dataValidation type="list" allowBlank="1" showInputMessage="1" showErrorMessage="1" sqref="D128">
      <formula1>DriveStyles</formula1>
    </dataValidation>
    <dataValidation type="list" allowBlank="1" showInputMessage="1" showErrorMessage="1" sqref="D129">
      <formula1>DriveStyles</formula1>
    </dataValidation>
    <dataValidation type="list" allowBlank="1" showInputMessage="1" showErrorMessage="1" sqref="D130">
      <formula1>DriveStyles</formula1>
    </dataValidation>
    <dataValidation type="list" allowBlank="1" showInputMessage="1" showErrorMessage="1" sqref="D131">
      <formula1>DriveStyles</formula1>
    </dataValidation>
    <dataValidation type="list" allowBlank="1" showInputMessage="1" showErrorMessage="1" sqref="D132">
      <formula1>DriveStyles</formula1>
    </dataValidation>
    <dataValidation type="list" allowBlank="1" showInputMessage="1" showErrorMessage="1" sqref="D133">
      <formula1>DriveStyles</formula1>
    </dataValidation>
    <dataValidation type="list" allowBlank="1" showInputMessage="1" showErrorMessage="1" sqref="D134">
      <formula1>DriveStyles</formula1>
    </dataValidation>
    <dataValidation type="list" allowBlank="1" showInputMessage="1" showErrorMessage="1" sqref="D135">
      <formula1>DriveStyles</formula1>
    </dataValidation>
    <dataValidation type="list" allowBlank="1" showInputMessage="1" showErrorMessage="1" sqref="D136">
      <formula1>DriveStyles</formula1>
    </dataValidation>
    <dataValidation type="list" allowBlank="1" showInputMessage="1" showErrorMessage="1" sqref="D137">
      <formula1>DriveStyles</formula1>
    </dataValidation>
    <dataValidation type="list" allowBlank="1" showInputMessage="1" showErrorMessage="1" sqref="D138">
      <formula1>DriveStyles</formula1>
    </dataValidation>
    <dataValidation type="list" allowBlank="1" showInputMessage="1" showErrorMessage="1" sqref="D139">
      <formula1>DriveStyles</formula1>
    </dataValidation>
    <dataValidation type="list" allowBlank="1" showInputMessage="1" showErrorMessage="1" sqref="D140">
      <formula1>DriveStyles</formula1>
    </dataValidation>
    <dataValidation type="list" allowBlank="1" showInputMessage="1" showErrorMessage="1" sqref="D141">
      <formula1>DriveStyles</formula1>
    </dataValidation>
    <dataValidation type="list" allowBlank="1" showInputMessage="1" showErrorMessage="1" sqref="D142">
      <formula1>DriveStyles</formula1>
    </dataValidation>
    <dataValidation type="list" allowBlank="1" showInputMessage="1" showErrorMessage="1" sqref="D143">
      <formula1>DriveStyles</formula1>
    </dataValidation>
    <dataValidation type="list" allowBlank="1" showInputMessage="1" showErrorMessage="1" sqref="D144">
      <formula1>DriveStyles</formula1>
    </dataValidation>
    <dataValidation type="list" allowBlank="1" showInputMessage="1" showErrorMessage="1" sqref="D145">
      <formula1>DriveStyles</formula1>
    </dataValidation>
    <dataValidation type="list" allowBlank="1" showInputMessage="1" showErrorMessage="1" sqref="D146">
      <formula1>DriveStyles</formula1>
    </dataValidation>
    <dataValidation type="list" allowBlank="1" showInputMessage="1" showErrorMessage="1" sqref="D147">
      <formula1>DriveStyles</formula1>
    </dataValidation>
    <dataValidation type="list" allowBlank="1" showInputMessage="1" showErrorMessage="1" sqref="D148">
      <formula1>DriveStyles</formula1>
    </dataValidation>
    <dataValidation type="list" allowBlank="1" showInputMessage="1" showErrorMessage="1" sqref="D149">
      <formula1>DriveStyles</formula1>
    </dataValidation>
    <dataValidation type="list" allowBlank="1" showInputMessage="1" showErrorMessage="1" sqref="D150">
      <formula1>DriveStyles</formula1>
    </dataValidation>
    <dataValidation type="list" allowBlank="1" showInputMessage="1" showErrorMessage="1" sqref="D151">
      <formula1>DriveStyles</formula1>
    </dataValidation>
    <dataValidation type="list" allowBlank="1" showInputMessage="1" showErrorMessage="1" sqref="D152">
      <formula1>DriveStyles</formula1>
    </dataValidation>
    <dataValidation type="list" allowBlank="1" showInputMessage="1" showErrorMessage="1" sqref="D153">
      <formula1>DriveStyles</formula1>
    </dataValidation>
    <dataValidation type="list" allowBlank="1" showInputMessage="1" showErrorMessage="1" sqref="D154">
      <formula1>DriveStyles</formula1>
    </dataValidation>
    <dataValidation type="list" allowBlank="1" showInputMessage="1" showErrorMessage="1" sqref="D155">
      <formula1>DriveStyles</formula1>
    </dataValidation>
    <dataValidation type="list" allowBlank="1" showInputMessage="1" showErrorMessage="1" sqref="D156">
      <formula1>DriveStyles</formula1>
    </dataValidation>
    <dataValidation type="list" allowBlank="1" showInputMessage="1" showErrorMessage="1" sqref="D157">
      <formula1>DriveStyles</formula1>
    </dataValidation>
    <dataValidation type="list" allowBlank="1" showInputMessage="1" showErrorMessage="1" sqref="D158">
      <formula1>DriveStyles</formula1>
    </dataValidation>
    <dataValidation type="list" allowBlank="1" showInputMessage="1" showErrorMessage="1" sqref="D159">
      <formula1>DriveStyles</formula1>
    </dataValidation>
    <dataValidation type="list" allowBlank="1" showInputMessage="1" showErrorMessage="1" sqref="D160">
      <formula1>DriveStyles</formula1>
    </dataValidation>
    <dataValidation type="list" allowBlank="1" showInputMessage="1" showErrorMessage="1" sqref="D161">
      <formula1>DriveStyles</formula1>
    </dataValidation>
    <dataValidation type="list" allowBlank="1" showInputMessage="1" showErrorMessage="1" sqref="D162">
      <formula1>DriveStyles</formula1>
    </dataValidation>
    <dataValidation type="list" allowBlank="1" showInputMessage="1" showErrorMessage="1" sqref="D163">
      <formula1>DriveStyles</formula1>
    </dataValidation>
    <dataValidation type="list" allowBlank="1" showInputMessage="1" showErrorMessage="1" sqref="D164">
      <formula1>DriveStyles</formula1>
    </dataValidation>
    <dataValidation type="list" allowBlank="1" showInputMessage="1" showErrorMessage="1" sqref="D165">
      <formula1>DriveStyles</formula1>
    </dataValidation>
    <dataValidation type="list" allowBlank="1" showInputMessage="1" showErrorMessage="1" sqref="D166">
      <formula1>DriveStyles</formula1>
    </dataValidation>
    <dataValidation type="list" allowBlank="1" showInputMessage="1" showErrorMessage="1" sqref="D167">
      <formula1>DriveStyles</formula1>
    </dataValidation>
    <dataValidation type="list" allowBlank="1" showInputMessage="1" showErrorMessage="1" sqref="D168">
      <formula1>DriveStyles</formula1>
    </dataValidation>
    <dataValidation type="list" allowBlank="1" showInputMessage="1" showErrorMessage="1" sqref="D169">
      <formula1>DriveStyles</formula1>
    </dataValidation>
    <dataValidation type="list" allowBlank="1" showInputMessage="1" showErrorMessage="1" sqref="D170">
      <formula1>DriveStyles</formula1>
    </dataValidation>
    <dataValidation type="list" allowBlank="1" showInputMessage="1" showErrorMessage="1" sqref="D171">
      <formula1>DriveStyles</formula1>
    </dataValidation>
    <dataValidation type="list" allowBlank="1" showInputMessage="1" showErrorMessage="1" sqref="D172">
      <formula1>DriveStyles</formula1>
    </dataValidation>
    <dataValidation type="list" allowBlank="1" showInputMessage="1" showErrorMessage="1" sqref="D173">
      <formula1>DriveStyles</formula1>
    </dataValidation>
    <dataValidation type="list" allowBlank="1" showInputMessage="1" showErrorMessage="1" sqref="D174">
      <formula1>DriveStyles</formula1>
    </dataValidation>
    <dataValidation type="list" allowBlank="1" showInputMessage="1" showErrorMessage="1" sqref="D175">
      <formula1>DriveStyles</formula1>
    </dataValidation>
    <dataValidation type="list" allowBlank="1" showInputMessage="1" showErrorMessage="1" sqref="D176">
      <formula1>DriveStyles</formula1>
    </dataValidation>
    <dataValidation type="list" allowBlank="1" showInputMessage="1" showErrorMessage="1" sqref="D177">
      <formula1>DriveStyles</formula1>
    </dataValidation>
    <dataValidation type="list" allowBlank="1" showInputMessage="1" showErrorMessage="1" sqref="D178">
      <formula1>DriveStyles</formula1>
    </dataValidation>
    <dataValidation type="list" allowBlank="1" showInputMessage="1" showErrorMessage="1" sqref="D179">
      <formula1>DriveStyles</formula1>
    </dataValidation>
    <dataValidation type="list" allowBlank="1" showInputMessage="1" showErrorMessage="1" sqref="D180">
      <formula1>DriveStyles</formula1>
    </dataValidation>
    <dataValidation type="list" allowBlank="1" showInputMessage="1" showErrorMessage="1" sqref="D181">
      <formula1>DriveStyles</formula1>
    </dataValidation>
    <dataValidation type="list" allowBlank="1" showInputMessage="1" showErrorMessage="1" sqref="D182">
      <formula1>DriveStyles</formula1>
    </dataValidation>
    <dataValidation type="list" allowBlank="1" showInputMessage="1" showErrorMessage="1" sqref="D183">
      <formula1>DriveStyles</formula1>
    </dataValidation>
    <dataValidation type="list" allowBlank="1" showInputMessage="1" showErrorMessage="1" sqref="D184">
      <formula1>DriveStyles</formula1>
    </dataValidation>
    <dataValidation type="list" allowBlank="1" showInputMessage="1" showErrorMessage="1" sqref="D185">
      <formula1>DriveStyles</formula1>
    </dataValidation>
    <dataValidation type="list" allowBlank="1" showInputMessage="1" showErrorMessage="1" sqref="D186">
      <formula1>DriveStyles</formula1>
    </dataValidation>
    <dataValidation type="list" allowBlank="1" showInputMessage="1" showErrorMessage="1" sqref="D187">
      <formula1>DriveStyles</formula1>
    </dataValidation>
    <dataValidation type="list" allowBlank="1" showInputMessage="1" showErrorMessage="1" sqref="D188">
      <formula1>DriveStyles</formula1>
    </dataValidation>
    <dataValidation type="list" allowBlank="1" showInputMessage="1" showErrorMessage="1" sqref="D189">
      <formula1>DriveStyles</formula1>
    </dataValidation>
    <dataValidation type="list" allowBlank="1" showInputMessage="1" showErrorMessage="1" sqref="D190">
      <formula1>DriveStyles</formula1>
    </dataValidation>
    <dataValidation type="list" allowBlank="1" showInputMessage="1" showErrorMessage="1" sqref="D191">
      <formula1>DriveStyles</formula1>
    </dataValidation>
    <dataValidation type="list" allowBlank="1" showInputMessage="1" showErrorMessage="1" sqref="D192">
      <formula1>DriveStyles</formula1>
    </dataValidation>
    <dataValidation type="list" allowBlank="1" showInputMessage="1" showErrorMessage="1" sqref="D193">
      <formula1>DriveStyles</formula1>
    </dataValidation>
    <dataValidation type="list" allowBlank="1" showInputMessage="1" showErrorMessage="1" sqref="D194">
      <formula1>DriveStyles</formula1>
    </dataValidation>
    <dataValidation type="list" allowBlank="1" showInputMessage="1" showErrorMessage="1" sqref="D195">
      <formula1>DriveStyles</formula1>
    </dataValidation>
    <dataValidation type="list" allowBlank="1" showInputMessage="1" showErrorMessage="1" sqref="D196">
      <formula1>DriveStyles</formula1>
    </dataValidation>
    <dataValidation type="list" allowBlank="1" showInputMessage="1" showErrorMessage="1" sqref="D197">
      <formula1>DriveStyles</formula1>
    </dataValidation>
    <dataValidation type="list" allowBlank="1" showInputMessage="1" showErrorMessage="1" sqref="D198">
      <formula1>DriveStyles</formula1>
    </dataValidation>
    <dataValidation type="list" allowBlank="1" showInputMessage="1" showErrorMessage="1" sqref="D199">
      <formula1>DriveStyles</formula1>
    </dataValidation>
    <dataValidation type="list" allowBlank="1" showInputMessage="1" showErrorMessage="1" sqref="D200">
      <formula1>DriveStyles</formula1>
    </dataValidation>
    <dataValidation type="list" allowBlank="1" showInputMessage="1" showErrorMessage="1" sqref="D201">
      <formula1>DriveStyles</formula1>
    </dataValidation>
    <dataValidation type="list" allowBlank="1" showInputMessage="1" showErrorMessage="1" sqref="D202">
      <formula1>DriveStyles</formula1>
    </dataValidation>
    <dataValidation type="list" allowBlank="1" showInputMessage="1" showErrorMessage="1" sqref="D203">
      <formula1>DriveStyles</formula1>
    </dataValidation>
    <dataValidation type="list" allowBlank="1" showInputMessage="1" showErrorMessage="1" sqref="D204">
      <formula1>DriveStyles</formula1>
    </dataValidation>
    <dataValidation type="list" allowBlank="1" showInputMessage="1" showErrorMessage="1" sqref="D205">
      <formula1>DriveStyles</formula1>
    </dataValidation>
    <dataValidation type="list" allowBlank="1" showInputMessage="1" showErrorMessage="1" sqref="D206">
      <formula1>DriveStyles</formula1>
    </dataValidation>
    <dataValidation type="list" allowBlank="1" showInputMessage="1" showErrorMessage="1" sqref="D207">
      <formula1>DriveStyles</formula1>
    </dataValidation>
    <dataValidation type="list" allowBlank="1" showInputMessage="1" showErrorMessage="1" sqref="D208">
      <formula1>DriveStyles</formula1>
    </dataValidation>
    <dataValidation type="list" allowBlank="1" showInputMessage="1" showErrorMessage="1" sqref="D209">
      <formula1>DriveStyles</formula1>
    </dataValidation>
    <dataValidation type="list" allowBlank="1" showInputMessage="1" showErrorMessage="1" sqref="D210">
      <formula1>DriveStyles</formula1>
    </dataValidation>
    <dataValidation type="list" allowBlank="1" showInputMessage="1" showErrorMessage="1" sqref="D211">
      <formula1>DriveStyles</formula1>
    </dataValidation>
    <dataValidation type="list" allowBlank="1" showInputMessage="1" showErrorMessage="1" sqref="D212">
      <formula1>DriveStyles</formula1>
    </dataValidation>
    <dataValidation type="list" allowBlank="1" showInputMessage="1" showErrorMessage="1" sqref="D213">
      <formula1>DriveStyles</formula1>
    </dataValidation>
    <dataValidation type="list" allowBlank="1" showInputMessage="1" showErrorMessage="1" sqref="D214">
      <formula1>DriveStyles</formula1>
    </dataValidation>
    <dataValidation type="list" allowBlank="1" showInputMessage="1" showErrorMessage="1" sqref="D215">
      <formula1>DriveStyles</formula1>
    </dataValidation>
    <dataValidation type="list" allowBlank="1" showInputMessage="1" showErrorMessage="1" sqref="D216">
      <formula1>DriveStyles</formula1>
    </dataValidation>
    <dataValidation type="list" allowBlank="1" showInputMessage="1" showErrorMessage="1" sqref="D217">
      <formula1>DriveStyles</formula1>
    </dataValidation>
    <dataValidation type="list" allowBlank="1" showInputMessage="1" showErrorMessage="1" sqref="D218">
      <formula1>DriveStyles</formula1>
    </dataValidation>
    <dataValidation type="list" allowBlank="1" showInputMessage="1" showErrorMessage="1" sqref="D219">
      <formula1>DriveStyles</formula1>
    </dataValidation>
    <dataValidation type="list" allowBlank="1" showInputMessage="1" showErrorMessage="1" sqref="D220">
      <formula1>DriveStyles</formula1>
    </dataValidation>
    <dataValidation type="list" allowBlank="1" showInputMessage="1" showErrorMessage="1" sqref="D221">
      <formula1>DriveStyles</formula1>
    </dataValidation>
    <dataValidation type="list" allowBlank="1" showInputMessage="1" showErrorMessage="1" sqref="D222">
      <formula1>DriveStyles</formula1>
    </dataValidation>
    <dataValidation type="list" allowBlank="1" showInputMessage="1" showErrorMessage="1" sqref="D223">
      <formula1>DriveStyles</formula1>
    </dataValidation>
    <dataValidation type="list" allowBlank="1" showInputMessage="1" showErrorMessage="1" sqref="D224">
      <formula1>DriveStyles</formula1>
    </dataValidation>
    <dataValidation type="list" allowBlank="1" showInputMessage="1" showErrorMessage="1" sqref="D225">
      <formula1>DriveStyles</formula1>
    </dataValidation>
    <dataValidation type="list" allowBlank="1" showInputMessage="1" showErrorMessage="1" sqref="D226">
      <formula1>DriveStyles</formula1>
    </dataValidation>
    <dataValidation type="list" allowBlank="1" showInputMessage="1" showErrorMessage="1" sqref="D227">
      <formula1>DriveStyles</formula1>
    </dataValidation>
    <dataValidation type="list" allowBlank="1" showInputMessage="1" showErrorMessage="1" sqref="D228">
      <formula1>DriveStyles</formula1>
    </dataValidation>
    <dataValidation type="list" allowBlank="1" showInputMessage="1" showErrorMessage="1" sqref="D229">
      <formula1>DriveStyles</formula1>
    </dataValidation>
    <dataValidation type="list" allowBlank="1" showInputMessage="1" showErrorMessage="1" sqref="D230">
      <formula1>DriveStyles</formula1>
    </dataValidation>
    <dataValidation type="list" allowBlank="1" showInputMessage="1" showErrorMessage="1" sqref="D231">
      <formula1>DriveStyles</formula1>
    </dataValidation>
    <dataValidation type="list" allowBlank="1" showInputMessage="1" showErrorMessage="1" sqref="D232">
      <formula1>DriveStyles</formula1>
    </dataValidation>
    <dataValidation type="list" allowBlank="1" showInputMessage="1" showErrorMessage="1" sqref="D233">
      <formula1>DriveStyles</formula1>
    </dataValidation>
    <dataValidation type="list" allowBlank="1" showInputMessage="1" showErrorMessage="1" sqref="D234">
      <formula1>DriveStyles</formula1>
    </dataValidation>
    <dataValidation type="list" allowBlank="1" showInputMessage="1" showErrorMessage="1" sqref="D235">
      <formula1>DriveStyles</formula1>
    </dataValidation>
    <dataValidation type="list" allowBlank="1" showInputMessage="1" showErrorMessage="1" sqref="D236">
      <formula1>DriveStyles</formula1>
    </dataValidation>
    <dataValidation type="list" allowBlank="1" showInputMessage="1" showErrorMessage="1" sqref="D237">
      <formula1>DriveStyles</formula1>
    </dataValidation>
    <dataValidation type="list" allowBlank="1" showInputMessage="1" showErrorMessage="1" sqref="D238">
      <formula1>DriveStyles</formula1>
    </dataValidation>
    <dataValidation type="list" allowBlank="1" showInputMessage="1" showErrorMessage="1" sqref="D239">
      <formula1>DriveStyles</formula1>
    </dataValidation>
    <dataValidation type="list" allowBlank="1" showInputMessage="1" showErrorMessage="1" sqref="D240">
      <formula1>DriveStyles</formula1>
    </dataValidation>
    <dataValidation type="list" allowBlank="1" showInputMessage="1" showErrorMessage="1" sqref="D241">
      <formula1>DriveStyles</formula1>
    </dataValidation>
    <dataValidation type="list" allowBlank="1" showInputMessage="1" showErrorMessage="1" sqref="D242">
      <formula1>DriveStyles</formula1>
    </dataValidation>
    <dataValidation type="list" allowBlank="1" showInputMessage="1" showErrorMessage="1" sqref="D243">
      <formula1>DriveStyles</formula1>
    </dataValidation>
    <dataValidation type="list" allowBlank="1" showInputMessage="1" showErrorMessage="1" sqref="D244">
      <formula1>DriveStyles</formula1>
    </dataValidation>
    <dataValidation type="list" allowBlank="1" showInputMessage="1" showErrorMessage="1" sqref="D245">
      <formula1>DriveStyles</formula1>
    </dataValidation>
    <dataValidation type="list" allowBlank="1" showInputMessage="1" showErrorMessage="1" sqref="D246">
      <formula1>DriveStyles</formula1>
    </dataValidation>
    <dataValidation type="list" allowBlank="1" showInputMessage="1" showErrorMessage="1" sqref="D247">
      <formula1>DriveStyles</formula1>
    </dataValidation>
    <dataValidation type="list" allowBlank="1" showInputMessage="1" showErrorMessage="1" sqref="D248">
      <formula1>DriveStyles</formula1>
    </dataValidation>
    <dataValidation type="list" allowBlank="1" showInputMessage="1" showErrorMessage="1" sqref="D249">
      <formula1>DriveStyles</formula1>
    </dataValidation>
    <dataValidation type="list" allowBlank="1" showInputMessage="1" showErrorMessage="1" sqref="D250">
      <formula1>DriveStyles</formula1>
    </dataValidation>
    <dataValidation type="list" allowBlank="1" showInputMessage="1" showErrorMessage="1" sqref="D251">
      <formula1>DriveStyles</formula1>
    </dataValidation>
    <dataValidation type="list" allowBlank="1" showInputMessage="1" showErrorMessage="1" sqref="D252">
      <formula1>DriveStyles</formula1>
    </dataValidation>
    <dataValidation type="list" allowBlank="1" showInputMessage="1" showErrorMessage="1" sqref="D253">
      <formula1>DriveStyles</formula1>
    </dataValidation>
    <dataValidation type="list" allowBlank="1" showInputMessage="1" showErrorMessage="1" sqref="D254">
      <formula1>DriveStyles</formula1>
    </dataValidation>
    <dataValidation type="list" allowBlank="1" showInputMessage="1" showErrorMessage="1" sqref="D255">
      <formula1>DriveStyles</formula1>
    </dataValidation>
    <dataValidation type="list" allowBlank="1" showInputMessage="1" showErrorMessage="1" sqref="D256">
      <formula1>DriveStyles</formula1>
    </dataValidation>
    <dataValidation type="list" allowBlank="1" showInputMessage="1" showErrorMessage="1" sqref="D257">
      <formula1>DriveStyles</formula1>
    </dataValidation>
    <dataValidation type="list" allowBlank="1" showInputMessage="1" showErrorMessage="1" sqref="D258">
      <formula1>DriveStyles</formula1>
    </dataValidation>
    <dataValidation type="list" allowBlank="1" showInputMessage="1" showErrorMessage="1" sqref="D259">
      <formula1>DriveStyles</formula1>
    </dataValidation>
    <dataValidation type="list" allowBlank="1" showInputMessage="1" showErrorMessage="1" sqref="D260">
      <formula1>DriveStyles</formula1>
    </dataValidation>
    <dataValidation type="list" allowBlank="1" showInputMessage="1" showErrorMessage="1" sqref="D261">
      <formula1>DriveStyles</formula1>
    </dataValidation>
    <dataValidation type="list" allowBlank="1" showInputMessage="1" showErrorMessage="1" sqref="D262">
      <formula1>DriveStyles</formula1>
    </dataValidation>
    <dataValidation type="list" allowBlank="1" showInputMessage="1" showErrorMessage="1" sqref="D263">
      <formula1>DriveStyles</formula1>
    </dataValidation>
    <dataValidation type="list" allowBlank="1" showInputMessage="1" showErrorMessage="1" sqref="D264">
      <formula1>DriveStyles</formula1>
    </dataValidation>
    <dataValidation type="list" allowBlank="1" showInputMessage="1" showErrorMessage="1" sqref="D265">
      <formula1>DriveStyles</formula1>
    </dataValidation>
    <dataValidation type="list" allowBlank="1" showInputMessage="1" showErrorMessage="1" sqref="D266">
      <formula1>DriveStyles</formula1>
    </dataValidation>
    <dataValidation type="list" allowBlank="1" showInputMessage="1" showErrorMessage="1" sqref="D267">
      <formula1>DriveStyles</formula1>
    </dataValidation>
    <dataValidation type="list" allowBlank="1" showInputMessage="1" showErrorMessage="1" sqref="D268">
      <formula1>DriveStyles</formula1>
    </dataValidation>
    <dataValidation type="list" allowBlank="1" showInputMessage="1" showErrorMessage="1" sqref="D269">
      <formula1>DriveStyles</formula1>
    </dataValidation>
    <dataValidation type="list" allowBlank="1" showInputMessage="1" showErrorMessage="1" sqref="D270">
      <formula1>DriveStyles</formula1>
    </dataValidation>
    <dataValidation type="list" allowBlank="1" showInputMessage="1" showErrorMessage="1" sqref="D271">
      <formula1>DriveStyles</formula1>
    </dataValidation>
    <dataValidation type="list" allowBlank="1" showInputMessage="1" showErrorMessage="1" sqref="D272">
      <formula1>DriveStyles</formula1>
    </dataValidation>
    <dataValidation type="list" allowBlank="1" showInputMessage="1" showErrorMessage="1" sqref="D273">
      <formula1>DriveStyles</formula1>
    </dataValidation>
    <dataValidation type="list" allowBlank="1" showInputMessage="1" showErrorMessage="1" sqref="D274">
      <formula1>DriveStyles</formula1>
    </dataValidation>
    <dataValidation type="list" allowBlank="1" showInputMessage="1" showErrorMessage="1" sqref="D275">
      <formula1>DriveStyles</formula1>
    </dataValidation>
    <dataValidation type="list" allowBlank="1" showInputMessage="1" showErrorMessage="1" sqref="D276">
      <formula1>DriveStyles</formula1>
    </dataValidation>
    <dataValidation type="list" allowBlank="1" showInputMessage="1" showErrorMessage="1" sqref="D277">
      <formula1>DriveStyles</formula1>
    </dataValidation>
    <dataValidation type="list" allowBlank="1" showInputMessage="1" showErrorMessage="1" sqref="D278">
      <formula1>DriveStyles</formula1>
    </dataValidation>
    <dataValidation type="list" allowBlank="1" showInputMessage="1" showErrorMessage="1" sqref="D279">
      <formula1>DriveStyles</formula1>
    </dataValidation>
    <dataValidation type="list" allowBlank="1" showInputMessage="1" showErrorMessage="1" sqref="D280">
      <formula1>DriveStyles</formula1>
    </dataValidation>
    <dataValidation type="list" allowBlank="1" showInputMessage="1" showErrorMessage="1" sqref="D281">
      <formula1>DriveStyles</formula1>
    </dataValidation>
    <dataValidation type="list" allowBlank="1" showInputMessage="1" showErrorMessage="1" sqref="D282">
      <formula1>DriveStyles</formula1>
    </dataValidation>
    <dataValidation type="list" allowBlank="1" showInputMessage="1" showErrorMessage="1" sqref="D283">
      <formula1>DriveStyles</formula1>
    </dataValidation>
    <dataValidation type="list" allowBlank="1" showInputMessage="1" showErrorMessage="1" sqref="D284">
      <formula1>DriveStyles</formula1>
    </dataValidation>
    <dataValidation type="list" allowBlank="1" showInputMessage="1" showErrorMessage="1" sqref="D285">
      <formula1>DriveStyles</formula1>
    </dataValidation>
    <dataValidation type="list" allowBlank="1" showInputMessage="1" showErrorMessage="1" sqref="D286">
      <formula1>DriveStyles</formula1>
    </dataValidation>
    <dataValidation type="list" allowBlank="1" showInputMessage="1" showErrorMessage="1" sqref="D287">
      <formula1>DriveStyles</formula1>
    </dataValidation>
    <dataValidation type="list" allowBlank="1" showInputMessage="1" showErrorMessage="1" sqref="D288">
      <formula1>DriveStyles</formula1>
    </dataValidation>
    <dataValidation type="list" allowBlank="1" showInputMessage="1" showErrorMessage="1" sqref="D289">
      <formula1>DriveStyles</formula1>
    </dataValidation>
    <dataValidation type="list" allowBlank="1" showInputMessage="1" showErrorMessage="1" sqref="D290">
      <formula1>DriveStyles</formula1>
    </dataValidation>
    <dataValidation type="list" allowBlank="1" showInputMessage="1" showErrorMessage="1" sqref="D291">
      <formula1>DriveStyles</formula1>
    </dataValidation>
    <dataValidation type="list" allowBlank="1" showInputMessage="1" showErrorMessage="1" sqref="D292">
      <formula1>DriveStyles</formula1>
    </dataValidation>
    <dataValidation type="list" allowBlank="1" showInputMessage="1" showErrorMessage="1" sqref="D293">
      <formula1>DriveStyles</formula1>
    </dataValidation>
    <dataValidation type="list" allowBlank="1" showInputMessage="1" showErrorMessage="1" sqref="D294">
      <formula1>DriveStyles</formula1>
    </dataValidation>
    <dataValidation type="list" allowBlank="1" showInputMessage="1" showErrorMessage="1" sqref="D295">
      <formula1>DriveStyles</formula1>
    </dataValidation>
    <dataValidation type="list" allowBlank="1" showInputMessage="1" showErrorMessage="1" sqref="D296">
      <formula1>DriveStyles</formula1>
    </dataValidation>
    <dataValidation type="list" allowBlank="1" showInputMessage="1" showErrorMessage="1" sqref="D297">
      <formula1>DriveStyles</formula1>
    </dataValidation>
    <dataValidation type="list" allowBlank="1" showInputMessage="1" showErrorMessage="1" sqref="D298">
      <formula1>DriveStyles</formula1>
    </dataValidation>
    <dataValidation type="list" allowBlank="1" showInputMessage="1" showErrorMessage="1" sqref="D299">
      <formula1>DriveStyles</formula1>
    </dataValidation>
    <dataValidation type="list" allowBlank="1" showInputMessage="1" showErrorMessage="1" sqref="D300">
      <formula1>DriveStyles</formula1>
    </dataValidation>
    <dataValidation type="list" allowBlank="1" showInputMessage="1" showErrorMessage="1" sqref="D301">
      <formula1>DriveStyles</formula1>
    </dataValidation>
    <dataValidation type="list" allowBlank="1" showInputMessage="1" showErrorMessage="1" sqref="D302">
      <formula1>DriveStyles</formula1>
    </dataValidation>
    <dataValidation type="list" allowBlank="1" showInputMessage="1" showErrorMessage="1" sqref="D303">
      <formula1>DriveStyles</formula1>
    </dataValidation>
    <dataValidation type="list" allowBlank="1" showInputMessage="1" showErrorMessage="1" sqref="E4">
      <formula1>DragToggle</formula1>
    </dataValidation>
    <dataValidation type="list" allowBlank="1" showInputMessage="1" showErrorMessage="1" sqref="E5">
      <formula1>DragToggle</formula1>
    </dataValidation>
    <dataValidation type="list" allowBlank="1" showInputMessage="1" showErrorMessage="1" sqref="E6">
      <formula1>DragToggle</formula1>
    </dataValidation>
    <dataValidation type="list" allowBlank="1" showInputMessage="1" showErrorMessage="1" sqref="E7">
      <formula1>DragToggle</formula1>
    </dataValidation>
    <dataValidation type="list" allowBlank="1" showInputMessage="1" showErrorMessage="1" sqref="E8">
      <formula1>DragToggle</formula1>
    </dataValidation>
    <dataValidation type="list" allowBlank="1" showInputMessage="1" showErrorMessage="1" sqref="E9">
      <formula1>DragToggle</formula1>
    </dataValidation>
    <dataValidation type="list" allowBlank="1" showInputMessage="1" showErrorMessage="1" sqref="E10">
      <formula1>DragToggle</formula1>
    </dataValidation>
    <dataValidation type="list" allowBlank="1" showInputMessage="1" showErrorMessage="1" sqref="E11">
      <formula1>DragToggle</formula1>
    </dataValidation>
    <dataValidation type="list" allowBlank="1" showInputMessage="1" showErrorMessage="1" sqref="E12">
      <formula1>DragToggle</formula1>
    </dataValidation>
    <dataValidation type="list" allowBlank="1" showInputMessage="1" showErrorMessage="1" sqref="E13">
      <formula1>DragToggle</formula1>
    </dataValidation>
    <dataValidation type="list" allowBlank="1" showInputMessage="1" showErrorMessage="1" sqref="E14">
      <formula1>DragToggle</formula1>
    </dataValidation>
    <dataValidation type="list" allowBlank="1" showInputMessage="1" showErrorMessage="1" sqref="E15">
      <formula1>DragToggle</formula1>
    </dataValidation>
    <dataValidation type="list" allowBlank="1" showInputMessage="1" showErrorMessage="1" sqref="E16">
      <formula1>DragToggle</formula1>
    </dataValidation>
    <dataValidation type="list" allowBlank="1" showInputMessage="1" showErrorMessage="1" sqref="E17">
      <formula1>DragToggle</formula1>
    </dataValidation>
    <dataValidation type="list" allowBlank="1" showInputMessage="1" showErrorMessage="1" sqref="E18">
      <formula1>DragToggle</formula1>
    </dataValidation>
    <dataValidation type="list" allowBlank="1" showInputMessage="1" showErrorMessage="1" sqref="E19">
      <formula1>DragToggle</formula1>
    </dataValidation>
    <dataValidation type="list" allowBlank="1" showInputMessage="1" showErrorMessage="1" sqref="E20">
      <formula1>DragToggle</formula1>
    </dataValidation>
    <dataValidation type="list" allowBlank="1" showInputMessage="1" showErrorMessage="1" sqref="E21">
      <formula1>DragToggle</formula1>
    </dataValidation>
    <dataValidation type="list" allowBlank="1" showInputMessage="1" showErrorMessage="1" sqref="E22">
      <formula1>DragToggle</formula1>
    </dataValidation>
    <dataValidation type="list" allowBlank="1" showInputMessage="1" showErrorMessage="1" sqref="E23">
      <formula1>DragToggle</formula1>
    </dataValidation>
    <dataValidation type="list" allowBlank="1" showInputMessage="1" showErrorMessage="1" sqref="E24">
      <formula1>DragToggle</formula1>
    </dataValidation>
    <dataValidation type="list" allowBlank="1" showInputMessage="1" showErrorMessage="1" sqref="E25">
      <formula1>DragToggle</formula1>
    </dataValidation>
    <dataValidation type="list" allowBlank="1" showInputMessage="1" showErrorMessage="1" sqref="E26">
      <formula1>DragToggle</formula1>
    </dataValidation>
    <dataValidation type="list" allowBlank="1" showInputMessage="1" showErrorMessage="1" sqref="E27">
      <formula1>DragToggle</formula1>
    </dataValidation>
    <dataValidation type="list" allowBlank="1" showInputMessage="1" showErrorMessage="1" sqref="E28">
      <formula1>DragToggle</formula1>
    </dataValidation>
    <dataValidation type="list" allowBlank="1" showInputMessage="1" showErrorMessage="1" sqref="E29">
      <formula1>DragToggle</formula1>
    </dataValidation>
    <dataValidation type="list" allowBlank="1" showInputMessage="1" showErrorMessage="1" sqref="E30">
      <formula1>DragToggle</formula1>
    </dataValidation>
    <dataValidation type="list" allowBlank="1" showInputMessage="1" showErrorMessage="1" sqref="E31">
      <formula1>DragToggle</formula1>
    </dataValidation>
    <dataValidation type="list" allowBlank="1" showInputMessage="1" showErrorMessage="1" sqref="E32">
      <formula1>DragToggle</formula1>
    </dataValidation>
    <dataValidation type="list" allowBlank="1" showInputMessage="1" showErrorMessage="1" sqref="E33">
      <formula1>DragToggle</formula1>
    </dataValidation>
    <dataValidation type="list" allowBlank="1" showInputMessage="1" showErrorMessage="1" sqref="E34">
      <formula1>DragToggle</formula1>
    </dataValidation>
    <dataValidation type="list" allowBlank="1" showInputMessage="1" showErrorMessage="1" sqref="E35">
      <formula1>DragToggle</formula1>
    </dataValidation>
    <dataValidation type="list" allowBlank="1" showInputMessage="1" showErrorMessage="1" sqref="E36">
      <formula1>DragToggle</formula1>
    </dataValidation>
    <dataValidation type="list" allowBlank="1" showInputMessage="1" showErrorMessage="1" sqref="E37">
      <formula1>DragToggle</formula1>
    </dataValidation>
    <dataValidation type="list" allowBlank="1" showInputMessage="1" showErrorMessage="1" sqref="E38">
      <formula1>DragToggle</formula1>
    </dataValidation>
    <dataValidation type="list" allowBlank="1" showInputMessage="1" showErrorMessage="1" sqref="E39">
      <formula1>DragToggle</formula1>
    </dataValidation>
    <dataValidation type="list" allowBlank="1" showInputMessage="1" showErrorMessage="1" sqref="E40">
      <formula1>DragToggle</formula1>
    </dataValidation>
    <dataValidation type="list" allowBlank="1" showInputMessage="1" showErrorMessage="1" sqref="E41">
      <formula1>DragToggle</formula1>
    </dataValidation>
    <dataValidation type="list" allowBlank="1" showInputMessage="1" showErrorMessage="1" sqref="E42">
      <formula1>DragToggle</formula1>
    </dataValidation>
    <dataValidation type="list" allowBlank="1" showInputMessage="1" showErrorMessage="1" sqref="E43">
      <formula1>DragToggle</formula1>
    </dataValidation>
    <dataValidation type="list" allowBlank="1" showInputMessage="1" showErrorMessage="1" sqref="E44">
      <formula1>DragToggle</formula1>
    </dataValidation>
    <dataValidation type="list" allowBlank="1" showInputMessage="1" showErrorMessage="1" sqref="E45">
      <formula1>DragToggle</formula1>
    </dataValidation>
    <dataValidation type="list" allowBlank="1" showInputMessage="1" showErrorMessage="1" sqref="E46">
      <formula1>DragToggle</formula1>
    </dataValidation>
    <dataValidation type="list" allowBlank="1" showInputMessage="1" showErrorMessage="1" sqref="E47">
      <formula1>DragToggle</formula1>
    </dataValidation>
    <dataValidation type="list" allowBlank="1" showInputMessage="1" showErrorMessage="1" sqref="E48">
      <formula1>DragToggle</formula1>
    </dataValidation>
    <dataValidation type="list" allowBlank="1" showInputMessage="1" showErrorMessage="1" sqref="E49">
      <formula1>DragToggle</formula1>
    </dataValidation>
    <dataValidation type="list" allowBlank="1" showInputMessage="1" showErrorMessage="1" sqref="E50">
      <formula1>DragToggle</formula1>
    </dataValidation>
    <dataValidation type="list" allowBlank="1" showInputMessage="1" showErrorMessage="1" sqref="E51">
      <formula1>DragToggle</formula1>
    </dataValidation>
    <dataValidation type="list" allowBlank="1" showInputMessage="1" showErrorMessage="1" sqref="E52">
      <formula1>DragToggle</formula1>
    </dataValidation>
    <dataValidation type="list" allowBlank="1" showInputMessage="1" showErrorMessage="1" sqref="E53">
      <formula1>DragToggle</formula1>
    </dataValidation>
    <dataValidation type="list" allowBlank="1" showInputMessage="1" showErrorMessage="1" sqref="E54">
      <formula1>DragToggle</formula1>
    </dataValidation>
    <dataValidation type="list" allowBlank="1" showInputMessage="1" showErrorMessage="1" sqref="E55">
      <formula1>DragToggle</formula1>
    </dataValidation>
    <dataValidation type="list" allowBlank="1" showInputMessage="1" showErrorMessage="1" sqref="E56">
      <formula1>DragToggle</formula1>
    </dataValidation>
    <dataValidation type="list" allowBlank="1" showInputMessage="1" showErrorMessage="1" sqref="E57">
      <formula1>DragToggle</formula1>
    </dataValidation>
    <dataValidation type="list" allowBlank="1" showInputMessage="1" showErrorMessage="1" sqref="E58">
      <formula1>DragToggle</formula1>
    </dataValidation>
    <dataValidation type="list" allowBlank="1" showInputMessage="1" showErrorMessage="1" sqref="E59">
      <formula1>DragToggle</formula1>
    </dataValidation>
    <dataValidation type="list" allowBlank="1" showInputMessage="1" showErrorMessage="1" sqref="E60">
      <formula1>DragToggle</formula1>
    </dataValidation>
    <dataValidation type="list" allowBlank="1" showInputMessage="1" showErrorMessage="1" sqref="E61">
      <formula1>DragToggle</formula1>
    </dataValidation>
    <dataValidation type="list" allowBlank="1" showInputMessage="1" showErrorMessage="1" sqref="E62">
      <formula1>DragToggle</formula1>
    </dataValidation>
    <dataValidation type="list" allowBlank="1" showInputMessage="1" showErrorMessage="1" sqref="E63">
      <formula1>DragToggle</formula1>
    </dataValidation>
    <dataValidation type="list" allowBlank="1" showInputMessage="1" showErrorMessage="1" sqref="E64">
      <formula1>DragToggle</formula1>
    </dataValidation>
    <dataValidation type="list" allowBlank="1" showInputMessage="1" showErrorMessage="1" sqref="E65">
      <formula1>DragToggle</formula1>
    </dataValidation>
    <dataValidation type="list" allowBlank="1" showInputMessage="1" showErrorMessage="1" sqref="E66">
      <formula1>DragToggle</formula1>
    </dataValidation>
    <dataValidation type="list" allowBlank="1" showInputMessage="1" showErrorMessage="1" sqref="E67">
      <formula1>DragToggle</formula1>
    </dataValidation>
    <dataValidation type="list" allowBlank="1" showInputMessage="1" showErrorMessage="1" sqref="E68">
      <formula1>DragToggle</formula1>
    </dataValidation>
    <dataValidation type="list" allowBlank="1" showInputMessage="1" showErrorMessage="1" sqref="E69">
      <formula1>DragToggle</formula1>
    </dataValidation>
    <dataValidation type="list" allowBlank="1" showInputMessage="1" showErrorMessage="1" sqref="E70">
      <formula1>DragToggle</formula1>
    </dataValidation>
    <dataValidation type="list" allowBlank="1" showInputMessage="1" showErrorMessage="1" sqref="E71">
      <formula1>DragToggle</formula1>
    </dataValidation>
    <dataValidation type="list" allowBlank="1" showInputMessage="1" showErrorMessage="1" sqref="E72">
      <formula1>DragToggle</formula1>
    </dataValidation>
    <dataValidation type="list" allowBlank="1" showInputMessage="1" showErrorMessage="1" sqref="E73">
      <formula1>DragToggle</formula1>
    </dataValidation>
    <dataValidation type="list" allowBlank="1" showInputMessage="1" showErrorMessage="1" sqref="E74">
      <formula1>DragToggle</formula1>
    </dataValidation>
    <dataValidation type="list" allowBlank="1" showInputMessage="1" showErrorMessage="1" sqref="E75">
      <formula1>DragToggle</formula1>
    </dataValidation>
    <dataValidation type="list" allowBlank="1" showInputMessage="1" showErrorMessage="1" sqref="E76">
      <formula1>DragToggle</formula1>
    </dataValidation>
    <dataValidation type="list" allowBlank="1" showInputMessage="1" showErrorMessage="1" sqref="E77">
      <formula1>DragToggle</formula1>
    </dataValidation>
    <dataValidation type="list" allowBlank="1" showInputMessage="1" showErrorMessage="1" sqref="E78">
      <formula1>DragToggle</formula1>
    </dataValidation>
    <dataValidation type="list" allowBlank="1" showInputMessage="1" showErrorMessage="1" sqref="E79">
      <formula1>DragToggle</formula1>
    </dataValidation>
    <dataValidation type="list" allowBlank="1" showInputMessage="1" showErrorMessage="1" sqref="E80">
      <formula1>DragToggle</formula1>
    </dataValidation>
    <dataValidation type="list" allowBlank="1" showInputMessage="1" showErrorMessage="1" sqref="E81">
      <formula1>DragToggle</formula1>
    </dataValidation>
    <dataValidation type="list" allowBlank="1" showInputMessage="1" showErrorMessage="1" sqref="E82">
      <formula1>DragToggle</formula1>
    </dataValidation>
    <dataValidation type="list" allowBlank="1" showInputMessage="1" showErrorMessage="1" sqref="E83">
      <formula1>DragToggle</formula1>
    </dataValidation>
    <dataValidation type="list" allowBlank="1" showInputMessage="1" showErrorMessage="1" sqref="E84">
      <formula1>DragToggle</formula1>
    </dataValidation>
    <dataValidation type="list" allowBlank="1" showInputMessage="1" showErrorMessage="1" sqref="E85">
      <formula1>DragToggle</formula1>
    </dataValidation>
    <dataValidation type="list" allowBlank="1" showInputMessage="1" showErrorMessage="1" sqref="E86">
      <formula1>DragToggle</formula1>
    </dataValidation>
    <dataValidation type="list" allowBlank="1" showInputMessage="1" showErrorMessage="1" sqref="E87">
      <formula1>DragToggle</formula1>
    </dataValidation>
    <dataValidation type="list" allowBlank="1" showInputMessage="1" showErrorMessage="1" sqref="E88">
      <formula1>DragToggle</formula1>
    </dataValidation>
    <dataValidation type="list" allowBlank="1" showInputMessage="1" showErrorMessage="1" sqref="E89">
      <formula1>DragToggle</formula1>
    </dataValidation>
    <dataValidation type="list" allowBlank="1" showInputMessage="1" showErrorMessage="1" sqref="E90">
      <formula1>DragToggle</formula1>
    </dataValidation>
    <dataValidation type="list" allowBlank="1" showInputMessage="1" showErrorMessage="1" sqref="E91">
      <formula1>DragToggle</formula1>
    </dataValidation>
    <dataValidation type="list" allowBlank="1" showInputMessage="1" showErrorMessage="1" sqref="E92">
      <formula1>DragToggle</formula1>
    </dataValidation>
    <dataValidation type="list" allowBlank="1" showInputMessage="1" showErrorMessage="1" sqref="E93">
      <formula1>DragToggle</formula1>
    </dataValidation>
    <dataValidation type="list" allowBlank="1" showInputMessage="1" showErrorMessage="1" sqref="E94">
      <formula1>DragToggle</formula1>
    </dataValidation>
    <dataValidation type="list" allowBlank="1" showInputMessage="1" showErrorMessage="1" sqref="E95">
      <formula1>DragToggle</formula1>
    </dataValidation>
    <dataValidation type="list" allowBlank="1" showInputMessage="1" showErrorMessage="1" sqref="E96">
      <formula1>DragToggle</formula1>
    </dataValidation>
    <dataValidation type="list" allowBlank="1" showInputMessage="1" showErrorMessage="1" sqref="E97">
      <formula1>DragToggle</formula1>
    </dataValidation>
    <dataValidation type="list" allowBlank="1" showInputMessage="1" showErrorMessage="1" sqref="E98">
      <formula1>DragToggle</formula1>
    </dataValidation>
    <dataValidation type="list" allowBlank="1" showInputMessage="1" showErrorMessage="1" sqref="E99">
      <formula1>DragToggle</formula1>
    </dataValidation>
    <dataValidation type="list" allowBlank="1" showInputMessage="1" showErrorMessage="1" sqref="E100">
      <formula1>DragToggle</formula1>
    </dataValidation>
    <dataValidation type="list" allowBlank="1" showInputMessage="1" showErrorMessage="1" sqref="E101">
      <formula1>DragToggle</formula1>
    </dataValidation>
    <dataValidation type="list" allowBlank="1" showInputMessage="1" showErrorMessage="1" sqref="E102">
      <formula1>DragToggle</formula1>
    </dataValidation>
    <dataValidation type="list" allowBlank="1" showInputMessage="1" showErrorMessage="1" sqref="E103">
      <formula1>DragToggle</formula1>
    </dataValidation>
    <dataValidation type="list" allowBlank="1" showInputMessage="1" showErrorMessage="1" sqref="E104">
      <formula1>DragToggle</formula1>
    </dataValidation>
    <dataValidation type="list" allowBlank="1" showInputMessage="1" showErrorMessage="1" sqref="E105">
      <formula1>DragToggle</formula1>
    </dataValidation>
    <dataValidation type="list" allowBlank="1" showInputMessage="1" showErrorMessage="1" sqref="E106">
      <formula1>DragToggle</formula1>
    </dataValidation>
    <dataValidation type="list" allowBlank="1" showInputMessage="1" showErrorMessage="1" sqref="E107">
      <formula1>DragToggle</formula1>
    </dataValidation>
    <dataValidation type="list" allowBlank="1" showInputMessage="1" showErrorMessage="1" sqref="E108">
      <formula1>DragToggle</formula1>
    </dataValidation>
    <dataValidation type="list" allowBlank="1" showInputMessage="1" showErrorMessage="1" sqref="E109">
      <formula1>DragToggle</formula1>
    </dataValidation>
    <dataValidation type="list" allowBlank="1" showInputMessage="1" showErrorMessage="1" sqref="E110">
      <formula1>DragToggle</formula1>
    </dataValidation>
    <dataValidation type="list" allowBlank="1" showInputMessage="1" showErrorMessage="1" sqref="E111">
      <formula1>DragToggle</formula1>
    </dataValidation>
    <dataValidation type="list" allowBlank="1" showInputMessage="1" showErrorMessage="1" sqref="E112">
      <formula1>DragToggle</formula1>
    </dataValidation>
    <dataValidation type="list" allowBlank="1" showInputMessage="1" showErrorMessage="1" sqref="E113">
      <formula1>DragToggle</formula1>
    </dataValidation>
    <dataValidation type="list" allowBlank="1" showInputMessage="1" showErrorMessage="1" sqref="E114">
      <formula1>DragToggle</formula1>
    </dataValidation>
    <dataValidation type="list" allowBlank="1" showInputMessage="1" showErrorMessage="1" sqref="E115">
      <formula1>DragToggle</formula1>
    </dataValidation>
    <dataValidation type="list" allowBlank="1" showInputMessage="1" showErrorMessage="1" sqref="E116">
      <formula1>DragToggle</formula1>
    </dataValidation>
    <dataValidation type="list" allowBlank="1" showInputMessage="1" showErrorMessage="1" sqref="E117">
      <formula1>DragToggle</formula1>
    </dataValidation>
    <dataValidation type="list" allowBlank="1" showInputMessage="1" showErrorMessage="1" sqref="E118">
      <formula1>DragToggle</formula1>
    </dataValidation>
    <dataValidation type="list" allowBlank="1" showInputMessage="1" showErrorMessage="1" sqref="E119">
      <formula1>DragToggle</formula1>
    </dataValidation>
    <dataValidation type="list" allowBlank="1" showInputMessage="1" showErrorMessage="1" sqref="E120">
      <formula1>DragToggle</formula1>
    </dataValidation>
    <dataValidation type="list" allowBlank="1" showInputMessage="1" showErrorMessage="1" sqref="E121">
      <formula1>DragToggle</formula1>
    </dataValidation>
    <dataValidation type="list" allowBlank="1" showInputMessage="1" showErrorMessage="1" sqref="E122">
      <formula1>DragToggle</formula1>
    </dataValidation>
    <dataValidation type="list" allowBlank="1" showInputMessage="1" showErrorMessage="1" sqref="E123">
      <formula1>DragToggle</formula1>
    </dataValidation>
    <dataValidation type="list" allowBlank="1" showInputMessage="1" showErrorMessage="1" sqref="E124">
      <formula1>DragToggle</formula1>
    </dataValidation>
    <dataValidation type="list" allowBlank="1" showInputMessage="1" showErrorMessage="1" sqref="E125">
      <formula1>DragToggle</formula1>
    </dataValidation>
    <dataValidation type="list" allowBlank="1" showInputMessage="1" showErrorMessage="1" sqref="E126">
      <formula1>DragToggle</formula1>
    </dataValidation>
    <dataValidation type="list" allowBlank="1" showInputMessage="1" showErrorMessage="1" sqref="E127">
      <formula1>DragToggle</formula1>
    </dataValidation>
    <dataValidation type="list" allowBlank="1" showInputMessage="1" showErrorMessage="1" sqref="E128">
      <formula1>DragToggle</formula1>
    </dataValidation>
    <dataValidation type="list" allowBlank="1" showInputMessage="1" showErrorMessage="1" sqref="E129">
      <formula1>DragToggle</formula1>
    </dataValidation>
    <dataValidation type="list" allowBlank="1" showInputMessage="1" showErrorMessage="1" sqref="E130">
      <formula1>DragToggle</formula1>
    </dataValidation>
    <dataValidation type="list" allowBlank="1" showInputMessage="1" showErrorMessage="1" sqref="E131">
      <formula1>DragToggle</formula1>
    </dataValidation>
    <dataValidation type="list" allowBlank="1" showInputMessage="1" showErrorMessage="1" sqref="E132">
      <formula1>DragToggle</formula1>
    </dataValidation>
    <dataValidation type="list" allowBlank="1" showInputMessage="1" showErrorMessage="1" sqref="E133">
      <formula1>DragToggle</formula1>
    </dataValidation>
    <dataValidation type="list" allowBlank="1" showInputMessage="1" showErrorMessage="1" sqref="E134">
      <formula1>DragToggle</formula1>
    </dataValidation>
    <dataValidation type="list" allowBlank="1" showInputMessage="1" showErrorMessage="1" sqref="E135">
      <formula1>DragToggle</formula1>
    </dataValidation>
    <dataValidation type="list" allowBlank="1" showInputMessage="1" showErrorMessage="1" sqref="E136">
      <formula1>DragToggle</formula1>
    </dataValidation>
    <dataValidation type="list" allowBlank="1" showInputMessage="1" showErrorMessage="1" sqref="E137">
      <formula1>DragToggle</formula1>
    </dataValidation>
    <dataValidation type="list" allowBlank="1" showInputMessage="1" showErrorMessage="1" sqref="E138">
      <formula1>DragToggle</formula1>
    </dataValidation>
    <dataValidation type="list" allowBlank="1" showInputMessage="1" showErrorMessage="1" sqref="E139">
      <formula1>DragToggle</formula1>
    </dataValidation>
    <dataValidation type="list" allowBlank="1" showInputMessage="1" showErrorMessage="1" sqref="E140">
      <formula1>DragToggle</formula1>
    </dataValidation>
    <dataValidation type="list" allowBlank="1" showInputMessage="1" showErrorMessage="1" sqref="E141">
      <formula1>DragToggle</formula1>
    </dataValidation>
    <dataValidation type="list" allowBlank="1" showInputMessage="1" showErrorMessage="1" sqref="E142">
      <formula1>DragToggle</formula1>
    </dataValidation>
    <dataValidation type="list" allowBlank="1" showInputMessage="1" showErrorMessage="1" sqref="E143">
      <formula1>DragToggle</formula1>
    </dataValidation>
    <dataValidation type="list" allowBlank="1" showInputMessage="1" showErrorMessage="1" sqref="E144">
      <formula1>DragToggle</formula1>
    </dataValidation>
    <dataValidation type="list" allowBlank="1" showInputMessage="1" showErrorMessage="1" sqref="E145">
      <formula1>DragToggle</formula1>
    </dataValidation>
    <dataValidation type="list" allowBlank="1" showInputMessage="1" showErrorMessage="1" sqref="E146">
      <formula1>DragToggle</formula1>
    </dataValidation>
    <dataValidation type="list" allowBlank="1" showInputMessage="1" showErrorMessage="1" sqref="E147">
      <formula1>DragToggle</formula1>
    </dataValidation>
    <dataValidation type="list" allowBlank="1" showInputMessage="1" showErrorMessage="1" sqref="E148">
      <formula1>DragToggle</formula1>
    </dataValidation>
    <dataValidation type="list" allowBlank="1" showInputMessage="1" showErrorMessage="1" sqref="E149">
      <formula1>DragToggle</formula1>
    </dataValidation>
    <dataValidation type="list" allowBlank="1" showInputMessage="1" showErrorMessage="1" sqref="E150">
      <formula1>DragToggle</formula1>
    </dataValidation>
    <dataValidation type="list" allowBlank="1" showInputMessage="1" showErrorMessage="1" sqref="E151">
      <formula1>DragToggle</formula1>
    </dataValidation>
    <dataValidation type="list" allowBlank="1" showInputMessage="1" showErrorMessage="1" sqref="E152">
      <formula1>DragToggle</formula1>
    </dataValidation>
    <dataValidation type="list" allowBlank="1" showInputMessage="1" showErrorMessage="1" sqref="E153">
      <formula1>DragToggle</formula1>
    </dataValidation>
    <dataValidation type="list" allowBlank="1" showInputMessage="1" showErrorMessage="1" sqref="E154">
      <formula1>DragToggle</formula1>
    </dataValidation>
    <dataValidation type="list" allowBlank="1" showInputMessage="1" showErrorMessage="1" sqref="E155">
      <formula1>DragToggle</formula1>
    </dataValidation>
    <dataValidation type="list" allowBlank="1" showInputMessage="1" showErrorMessage="1" sqref="E156">
      <formula1>DragToggle</formula1>
    </dataValidation>
    <dataValidation type="list" allowBlank="1" showInputMessage="1" showErrorMessage="1" sqref="E157">
      <formula1>DragToggle</formula1>
    </dataValidation>
    <dataValidation type="list" allowBlank="1" showInputMessage="1" showErrorMessage="1" sqref="E158">
      <formula1>DragToggle</formula1>
    </dataValidation>
    <dataValidation type="list" allowBlank="1" showInputMessage="1" showErrorMessage="1" sqref="E159">
      <formula1>DragToggle</formula1>
    </dataValidation>
    <dataValidation type="list" allowBlank="1" showInputMessage="1" showErrorMessage="1" sqref="E160">
      <formula1>DragToggle</formula1>
    </dataValidation>
    <dataValidation type="list" allowBlank="1" showInputMessage="1" showErrorMessage="1" sqref="E161">
      <formula1>DragToggle</formula1>
    </dataValidation>
    <dataValidation type="list" allowBlank="1" showInputMessage="1" showErrorMessage="1" sqref="E162">
      <formula1>DragToggle</formula1>
    </dataValidation>
    <dataValidation type="list" allowBlank="1" showInputMessage="1" showErrorMessage="1" sqref="E163">
      <formula1>DragToggle</formula1>
    </dataValidation>
    <dataValidation type="list" allowBlank="1" showInputMessage="1" showErrorMessage="1" sqref="E164">
      <formula1>DragToggle</formula1>
    </dataValidation>
    <dataValidation type="list" allowBlank="1" showInputMessage="1" showErrorMessage="1" sqref="E165">
      <formula1>DragToggle</formula1>
    </dataValidation>
    <dataValidation type="list" allowBlank="1" showInputMessage="1" showErrorMessage="1" sqref="E166">
      <formula1>DragToggle</formula1>
    </dataValidation>
    <dataValidation type="list" allowBlank="1" showInputMessage="1" showErrorMessage="1" sqref="E167">
      <formula1>DragToggle</formula1>
    </dataValidation>
    <dataValidation type="list" allowBlank="1" showInputMessage="1" showErrorMessage="1" sqref="E168">
      <formula1>DragToggle</formula1>
    </dataValidation>
    <dataValidation type="list" allowBlank="1" showInputMessage="1" showErrorMessage="1" sqref="E169">
      <formula1>DragToggle</formula1>
    </dataValidation>
    <dataValidation type="list" allowBlank="1" showInputMessage="1" showErrorMessage="1" sqref="E170">
      <formula1>DragToggle</formula1>
    </dataValidation>
    <dataValidation type="list" allowBlank="1" showInputMessage="1" showErrorMessage="1" sqref="E171">
      <formula1>DragToggle</formula1>
    </dataValidation>
    <dataValidation type="list" allowBlank="1" showInputMessage="1" showErrorMessage="1" sqref="E172">
      <formula1>DragToggle</formula1>
    </dataValidation>
    <dataValidation type="list" allowBlank="1" showInputMessage="1" showErrorMessage="1" sqref="E173">
      <formula1>DragToggle</formula1>
    </dataValidation>
    <dataValidation type="list" allowBlank="1" showInputMessage="1" showErrorMessage="1" sqref="E174">
      <formula1>DragToggle</formula1>
    </dataValidation>
    <dataValidation type="list" allowBlank="1" showInputMessage="1" showErrorMessage="1" sqref="E175">
      <formula1>DragToggle</formula1>
    </dataValidation>
    <dataValidation type="list" allowBlank="1" showInputMessage="1" showErrorMessage="1" sqref="E176">
      <formula1>DragToggle</formula1>
    </dataValidation>
    <dataValidation type="list" allowBlank="1" showInputMessage="1" showErrorMessage="1" sqref="E177">
      <formula1>DragToggle</formula1>
    </dataValidation>
    <dataValidation type="list" allowBlank="1" showInputMessage="1" showErrorMessage="1" sqref="E178">
      <formula1>DragToggle</formula1>
    </dataValidation>
    <dataValidation type="list" allowBlank="1" showInputMessage="1" showErrorMessage="1" sqref="E179">
      <formula1>DragToggle</formula1>
    </dataValidation>
    <dataValidation type="list" allowBlank="1" showInputMessage="1" showErrorMessage="1" sqref="E180">
      <formula1>DragToggle</formula1>
    </dataValidation>
    <dataValidation type="list" allowBlank="1" showInputMessage="1" showErrorMessage="1" sqref="E181">
      <formula1>DragToggle</formula1>
    </dataValidation>
    <dataValidation type="list" allowBlank="1" showInputMessage="1" showErrorMessage="1" sqref="E182">
      <formula1>DragToggle</formula1>
    </dataValidation>
    <dataValidation type="list" allowBlank="1" showInputMessage="1" showErrorMessage="1" sqref="E183">
      <formula1>DragToggle</formula1>
    </dataValidation>
    <dataValidation type="list" allowBlank="1" showInputMessage="1" showErrorMessage="1" sqref="E184">
      <formula1>DragToggle</formula1>
    </dataValidation>
    <dataValidation type="list" allowBlank="1" showInputMessage="1" showErrorMessage="1" sqref="E185">
      <formula1>DragToggle</formula1>
    </dataValidation>
    <dataValidation type="list" allowBlank="1" showInputMessage="1" showErrorMessage="1" sqref="E186">
      <formula1>DragToggle</formula1>
    </dataValidation>
    <dataValidation type="list" allowBlank="1" showInputMessage="1" showErrorMessage="1" sqref="E187">
      <formula1>DragToggle</formula1>
    </dataValidation>
    <dataValidation type="list" allowBlank="1" showInputMessage="1" showErrorMessage="1" sqref="E188">
      <formula1>DragToggle</formula1>
    </dataValidation>
    <dataValidation type="list" allowBlank="1" showInputMessage="1" showErrorMessage="1" sqref="E189">
      <formula1>DragToggle</formula1>
    </dataValidation>
    <dataValidation type="list" allowBlank="1" showInputMessage="1" showErrorMessage="1" sqref="E190">
      <formula1>DragToggle</formula1>
    </dataValidation>
    <dataValidation type="list" allowBlank="1" showInputMessage="1" showErrorMessage="1" sqref="E191">
      <formula1>DragToggle</formula1>
    </dataValidation>
    <dataValidation type="list" allowBlank="1" showInputMessage="1" showErrorMessage="1" sqref="E192">
      <formula1>DragToggle</formula1>
    </dataValidation>
    <dataValidation type="list" allowBlank="1" showInputMessage="1" showErrorMessage="1" sqref="E193">
      <formula1>DragToggle</formula1>
    </dataValidation>
    <dataValidation type="list" allowBlank="1" showInputMessage="1" showErrorMessage="1" sqref="E194">
      <formula1>DragToggle</formula1>
    </dataValidation>
    <dataValidation type="list" allowBlank="1" showInputMessage="1" showErrorMessage="1" sqref="E195">
      <formula1>DragToggle</formula1>
    </dataValidation>
    <dataValidation type="list" allowBlank="1" showInputMessage="1" showErrorMessage="1" sqref="E196">
      <formula1>DragToggle</formula1>
    </dataValidation>
    <dataValidation type="list" allowBlank="1" showInputMessage="1" showErrorMessage="1" sqref="E197">
      <formula1>DragToggle</formula1>
    </dataValidation>
    <dataValidation type="list" allowBlank="1" showInputMessage="1" showErrorMessage="1" sqref="E198">
      <formula1>DragToggle</formula1>
    </dataValidation>
    <dataValidation type="list" allowBlank="1" showInputMessage="1" showErrorMessage="1" sqref="E199">
      <formula1>DragToggle</formula1>
    </dataValidation>
    <dataValidation type="list" allowBlank="1" showInputMessage="1" showErrorMessage="1" sqref="E200">
      <formula1>DragToggle</formula1>
    </dataValidation>
    <dataValidation type="list" allowBlank="1" showInputMessage="1" showErrorMessage="1" sqref="E201">
      <formula1>DragToggle</formula1>
    </dataValidation>
    <dataValidation type="list" allowBlank="1" showInputMessage="1" showErrorMessage="1" sqref="E202">
      <formula1>DragToggle</formula1>
    </dataValidation>
    <dataValidation type="list" allowBlank="1" showInputMessage="1" showErrorMessage="1" sqref="E203">
      <formula1>DragToggle</formula1>
    </dataValidation>
    <dataValidation type="list" allowBlank="1" showInputMessage="1" showErrorMessage="1" sqref="E204">
      <formula1>DragToggle</formula1>
    </dataValidation>
    <dataValidation type="list" allowBlank="1" showInputMessage="1" showErrorMessage="1" sqref="E205">
      <formula1>DragToggle</formula1>
    </dataValidation>
    <dataValidation type="list" allowBlank="1" showInputMessage="1" showErrorMessage="1" sqref="E206">
      <formula1>DragToggle</formula1>
    </dataValidation>
    <dataValidation type="list" allowBlank="1" showInputMessage="1" showErrorMessage="1" sqref="E207">
      <formula1>DragToggle</formula1>
    </dataValidation>
    <dataValidation type="list" allowBlank="1" showInputMessage="1" showErrorMessage="1" sqref="E208">
      <formula1>DragToggle</formula1>
    </dataValidation>
    <dataValidation type="list" allowBlank="1" showInputMessage="1" showErrorMessage="1" sqref="E209">
      <formula1>DragToggle</formula1>
    </dataValidation>
    <dataValidation type="list" allowBlank="1" showInputMessage="1" showErrorMessage="1" sqref="E210">
      <formula1>DragToggle</formula1>
    </dataValidation>
    <dataValidation type="list" allowBlank="1" showInputMessage="1" showErrorMessage="1" sqref="E211">
      <formula1>DragToggle</formula1>
    </dataValidation>
    <dataValidation type="list" allowBlank="1" showInputMessage="1" showErrorMessage="1" sqref="E212">
      <formula1>DragToggle</formula1>
    </dataValidation>
    <dataValidation type="list" allowBlank="1" showInputMessage="1" showErrorMessage="1" sqref="E213">
      <formula1>DragToggle</formula1>
    </dataValidation>
    <dataValidation type="list" allowBlank="1" showInputMessage="1" showErrorMessage="1" sqref="E214">
      <formula1>DragToggle</formula1>
    </dataValidation>
    <dataValidation type="list" allowBlank="1" showInputMessage="1" showErrorMessage="1" sqref="E215">
      <formula1>DragToggle</formula1>
    </dataValidation>
    <dataValidation type="list" allowBlank="1" showInputMessage="1" showErrorMessage="1" sqref="E216">
      <formula1>DragToggle</formula1>
    </dataValidation>
    <dataValidation type="list" allowBlank="1" showInputMessage="1" showErrorMessage="1" sqref="E217">
      <formula1>DragToggle</formula1>
    </dataValidation>
    <dataValidation type="list" allowBlank="1" showInputMessage="1" showErrorMessage="1" sqref="E218">
      <formula1>DragToggle</formula1>
    </dataValidation>
    <dataValidation type="list" allowBlank="1" showInputMessage="1" showErrorMessage="1" sqref="E219">
      <formula1>DragToggle</formula1>
    </dataValidation>
    <dataValidation type="list" allowBlank="1" showInputMessage="1" showErrorMessage="1" sqref="E220">
      <formula1>DragToggle</formula1>
    </dataValidation>
    <dataValidation type="list" allowBlank="1" showInputMessage="1" showErrorMessage="1" sqref="E221">
      <formula1>DragToggle</formula1>
    </dataValidation>
    <dataValidation type="list" allowBlank="1" showInputMessage="1" showErrorMessage="1" sqref="E222">
      <formula1>DragToggle</formula1>
    </dataValidation>
    <dataValidation type="list" allowBlank="1" showInputMessage="1" showErrorMessage="1" sqref="E223">
      <formula1>DragToggle</formula1>
    </dataValidation>
    <dataValidation type="list" allowBlank="1" showInputMessage="1" showErrorMessage="1" sqref="E224">
      <formula1>DragToggle</formula1>
    </dataValidation>
    <dataValidation type="list" allowBlank="1" showInputMessage="1" showErrorMessage="1" sqref="E225">
      <formula1>DragToggle</formula1>
    </dataValidation>
    <dataValidation type="list" allowBlank="1" showInputMessage="1" showErrorMessage="1" sqref="E226">
      <formula1>DragToggle</formula1>
    </dataValidation>
    <dataValidation type="list" allowBlank="1" showInputMessage="1" showErrorMessage="1" sqref="E227">
      <formula1>DragToggle</formula1>
    </dataValidation>
    <dataValidation type="list" allowBlank="1" showInputMessage="1" showErrorMessage="1" sqref="E228">
      <formula1>DragToggle</formula1>
    </dataValidation>
    <dataValidation type="list" allowBlank="1" showInputMessage="1" showErrorMessage="1" sqref="E229">
      <formula1>DragToggle</formula1>
    </dataValidation>
    <dataValidation type="list" allowBlank="1" showInputMessage="1" showErrorMessage="1" sqref="E230">
      <formula1>DragToggle</formula1>
    </dataValidation>
    <dataValidation type="list" allowBlank="1" showInputMessage="1" showErrorMessage="1" sqref="E231">
      <formula1>DragToggle</formula1>
    </dataValidation>
    <dataValidation type="list" allowBlank="1" showInputMessage="1" showErrorMessage="1" sqref="E232">
      <formula1>DragToggle</formula1>
    </dataValidation>
    <dataValidation type="list" allowBlank="1" showInputMessage="1" showErrorMessage="1" sqref="E233">
      <formula1>DragToggle</formula1>
    </dataValidation>
    <dataValidation type="list" allowBlank="1" showInputMessage="1" showErrorMessage="1" sqref="E234">
      <formula1>DragToggle</formula1>
    </dataValidation>
    <dataValidation type="list" allowBlank="1" showInputMessage="1" showErrorMessage="1" sqref="E235">
      <formula1>DragToggle</formula1>
    </dataValidation>
    <dataValidation type="list" allowBlank="1" showInputMessage="1" showErrorMessage="1" sqref="E236">
      <formula1>DragToggle</formula1>
    </dataValidation>
    <dataValidation type="list" allowBlank="1" showInputMessage="1" showErrorMessage="1" sqref="E237">
      <formula1>DragToggle</formula1>
    </dataValidation>
    <dataValidation type="list" allowBlank="1" showInputMessage="1" showErrorMessage="1" sqref="E238">
      <formula1>DragToggle</formula1>
    </dataValidation>
    <dataValidation type="list" allowBlank="1" showInputMessage="1" showErrorMessage="1" sqref="E239">
      <formula1>DragToggle</formula1>
    </dataValidation>
    <dataValidation type="list" allowBlank="1" showInputMessage="1" showErrorMessage="1" sqref="E240">
      <formula1>DragToggle</formula1>
    </dataValidation>
    <dataValidation type="list" allowBlank="1" showInputMessage="1" showErrorMessage="1" sqref="E241">
      <formula1>DragToggle</formula1>
    </dataValidation>
    <dataValidation type="list" allowBlank="1" showInputMessage="1" showErrorMessage="1" sqref="E242">
      <formula1>DragToggle</formula1>
    </dataValidation>
    <dataValidation type="list" allowBlank="1" showInputMessage="1" showErrorMessage="1" sqref="E243">
      <formula1>DragToggle</formula1>
    </dataValidation>
    <dataValidation type="list" allowBlank="1" showInputMessage="1" showErrorMessage="1" sqref="E244">
      <formula1>DragToggle</formula1>
    </dataValidation>
    <dataValidation type="list" allowBlank="1" showInputMessage="1" showErrorMessage="1" sqref="E245">
      <formula1>DragToggle</formula1>
    </dataValidation>
    <dataValidation type="list" allowBlank="1" showInputMessage="1" showErrorMessage="1" sqref="E246">
      <formula1>DragToggle</formula1>
    </dataValidation>
    <dataValidation type="list" allowBlank="1" showInputMessage="1" showErrorMessage="1" sqref="E247">
      <formula1>DragToggle</formula1>
    </dataValidation>
    <dataValidation type="list" allowBlank="1" showInputMessage="1" showErrorMessage="1" sqref="E248">
      <formula1>DragToggle</formula1>
    </dataValidation>
    <dataValidation type="list" allowBlank="1" showInputMessage="1" showErrorMessage="1" sqref="E249">
      <formula1>DragToggle</formula1>
    </dataValidation>
    <dataValidation type="list" allowBlank="1" showInputMessage="1" showErrorMessage="1" sqref="E250">
      <formula1>DragToggle</formula1>
    </dataValidation>
    <dataValidation type="list" allowBlank="1" showInputMessage="1" showErrorMessage="1" sqref="E251">
      <formula1>DragToggle</formula1>
    </dataValidation>
    <dataValidation type="list" allowBlank="1" showInputMessage="1" showErrorMessage="1" sqref="E252">
      <formula1>DragToggle</formula1>
    </dataValidation>
    <dataValidation type="list" allowBlank="1" showInputMessage="1" showErrorMessage="1" sqref="E253">
      <formula1>DragToggle</formula1>
    </dataValidation>
    <dataValidation type="list" allowBlank="1" showInputMessage="1" showErrorMessage="1" sqref="E254">
      <formula1>DragToggle</formula1>
    </dataValidation>
    <dataValidation type="list" allowBlank="1" showInputMessage="1" showErrorMessage="1" sqref="E255">
      <formula1>DragToggle</formula1>
    </dataValidation>
    <dataValidation type="list" allowBlank="1" showInputMessage="1" showErrorMessage="1" sqref="E256">
      <formula1>DragToggle</formula1>
    </dataValidation>
    <dataValidation type="list" allowBlank="1" showInputMessage="1" showErrorMessage="1" sqref="E257">
      <formula1>DragToggle</formula1>
    </dataValidation>
    <dataValidation type="list" allowBlank="1" showInputMessage="1" showErrorMessage="1" sqref="E258">
      <formula1>DragToggle</formula1>
    </dataValidation>
    <dataValidation type="list" allowBlank="1" showInputMessage="1" showErrorMessage="1" sqref="E259">
      <formula1>DragToggle</formula1>
    </dataValidation>
    <dataValidation type="list" allowBlank="1" showInputMessage="1" showErrorMessage="1" sqref="E260">
      <formula1>DragToggle</formula1>
    </dataValidation>
    <dataValidation type="list" allowBlank="1" showInputMessage="1" showErrorMessage="1" sqref="E261">
      <formula1>DragToggle</formula1>
    </dataValidation>
    <dataValidation type="list" allowBlank="1" showInputMessage="1" showErrorMessage="1" sqref="E262">
      <formula1>DragToggle</formula1>
    </dataValidation>
    <dataValidation type="list" allowBlank="1" showInputMessage="1" showErrorMessage="1" sqref="E263">
      <formula1>DragToggle</formula1>
    </dataValidation>
    <dataValidation type="list" allowBlank="1" showInputMessage="1" showErrorMessage="1" sqref="E264">
      <formula1>DragToggle</formula1>
    </dataValidation>
    <dataValidation type="list" allowBlank="1" showInputMessage="1" showErrorMessage="1" sqref="E265">
      <formula1>DragToggle</formula1>
    </dataValidation>
    <dataValidation type="list" allowBlank="1" showInputMessage="1" showErrorMessage="1" sqref="E266">
      <formula1>DragToggle</formula1>
    </dataValidation>
    <dataValidation type="list" allowBlank="1" showInputMessage="1" showErrorMessage="1" sqref="E267">
      <formula1>DragToggle</formula1>
    </dataValidation>
    <dataValidation type="list" allowBlank="1" showInputMessage="1" showErrorMessage="1" sqref="E268">
      <formula1>DragToggle</formula1>
    </dataValidation>
    <dataValidation type="list" allowBlank="1" showInputMessage="1" showErrorMessage="1" sqref="E269">
      <formula1>DragToggle</formula1>
    </dataValidation>
    <dataValidation type="list" allowBlank="1" showInputMessage="1" showErrorMessage="1" sqref="E270">
      <formula1>DragToggle</formula1>
    </dataValidation>
    <dataValidation type="list" allowBlank="1" showInputMessage="1" showErrorMessage="1" sqref="E271">
      <formula1>DragToggle</formula1>
    </dataValidation>
    <dataValidation type="list" allowBlank="1" showInputMessage="1" showErrorMessage="1" sqref="E272">
      <formula1>DragToggle</formula1>
    </dataValidation>
    <dataValidation type="list" allowBlank="1" showInputMessage="1" showErrorMessage="1" sqref="E273">
      <formula1>DragToggle</formula1>
    </dataValidation>
    <dataValidation type="list" allowBlank="1" showInputMessage="1" showErrorMessage="1" sqref="E274">
      <formula1>DragToggle</formula1>
    </dataValidation>
    <dataValidation type="list" allowBlank="1" showInputMessage="1" showErrorMessage="1" sqref="E275">
      <formula1>DragToggle</formula1>
    </dataValidation>
    <dataValidation type="list" allowBlank="1" showInputMessage="1" showErrorMessage="1" sqref="E276">
      <formula1>DragToggle</formula1>
    </dataValidation>
    <dataValidation type="list" allowBlank="1" showInputMessage="1" showErrorMessage="1" sqref="E277">
      <formula1>DragToggle</formula1>
    </dataValidation>
    <dataValidation type="list" allowBlank="1" showInputMessage="1" showErrorMessage="1" sqref="E278">
      <formula1>DragToggle</formula1>
    </dataValidation>
    <dataValidation type="list" allowBlank="1" showInputMessage="1" showErrorMessage="1" sqref="E279">
      <formula1>DragToggle</formula1>
    </dataValidation>
    <dataValidation type="list" allowBlank="1" showInputMessage="1" showErrorMessage="1" sqref="E280">
      <formula1>DragToggle</formula1>
    </dataValidation>
    <dataValidation type="list" allowBlank="1" showInputMessage="1" showErrorMessage="1" sqref="E281">
      <formula1>DragToggle</formula1>
    </dataValidation>
    <dataValidation type="list" allowBlank="1" showInputMessage="1" showErrorMessage="1" sqref="E282">
      <formula1>DragToggle</formula1>
    </dataValidation>
    <dataValidation type="list" allowBlank="1" showInputMessage="1" showErrorMessage="1" sqref="E283">
      <formula1>DragToggle</formula1>
    </dataValidation>
    <dataValidation type="list" allowBlank="1" showInputMessage="1" showErrorMessage="1" sqref="E284">
      <formula1>DragToggle</formula1>
    </dataValidation>
    <dataValidation type="list" allowBlank="1" showInputMessage="1" showErrorMessage="1" sqref="E285">
      <formula1>DragToggle</formula1>
    </dataValidation>
    <dataValidation type="list" allowBlank="1" showInputMessage="1" showErrorMessage="1" sqref="E286">
      <formula1>DragToggle</formula1>
    </dataValidation>
    <dataValidation type="list" allowBlank="1" showInputMessage="1" showErrorMessage="1" sqref="E287">
      <formula1>DragToggle</formula1>
    </dataValidation>
    <dataValidation type="list" allowBlank="1" showInputMessage="1" showErrorMessage="1" sqref="E288">
      <formula1>DragToggle</formula1>
    </dataValidation>
    <dataValidation type="list" allowBlank="1" showInputMessage="1" showErrorMessage="1" sqref="E289">
      <formula1>DragToggle</formula1>
    </dataValidation>
    <dataValidation type="list" allowBlank="1" showInputMessage="1" showErrorMessage="1" sqref="E290">
      <formula1>DragToggle</formula1>
    </dataValidation>
    <dataValidation type="list" allowBlank="1" showInputMessage="1" showErrorMessage="1" sqref="E291">
      <formula1>DragToggle</formula1>
    </dataValidation>
    <dataValidation type="list" allowBlank="1" showInputMessage="1" showErrorMessage="1" sqref="E292">
      <formula1>DragToggle</formula1>
    </dataValidation>
    <dataValidation type="list" allowBlank="1" showInputMessage="1" showErrorMessage="1" sqref="E293">
      <formula1>DragToggle</formula1>
    </dataValidation>
    <dataValidation type="list" allowBlank="1" showInputMessage="1" showErrorMessage="1" sqref="E294">
      <formula1>DragToggle</formula1>
    </dataValidation>
    <dataValidation type="list" allowBlank="1" showInputMessage="1" showErrorMessage="1" sqref="E295">
      <formula1>DragToggle</formula1>
    </dataValidation>
    <dataValidation type="list" allowBlank="1" showInputMessage="1" showErrorMessage="1" sqref="E296">
      <formula1>DragToggle</formula1>
    </dataValidation>
    <dataValidation type="list" allowBlank="1" showInputMessage="1" showErrorMessage="1" sqref="E297">
      <formula1>DragToggle</formula1>
    </dataValidation>
    <dataValidation type="list" allowBlank="1" showInputMessage="1" showErrorMessage="1" sqref="E298">
      <formula1>DragToggle</formula1>
    </dataValidation>
    <dataValidation type="list" allowBlank="1" showInputMessage="1" showErrorMessage="1" sqref="E299">
      <formula1>DragToggle</formula1>
    </dataValidation>
    <dataValidation type="list" allowBlank="1" showInputMessage="1" showErrorMessage="1" sqref="E300">
      <formula1>DragToggle</formula1>
    </dataValidation>
    <dataValidation type="list" allowBlank="1" showInputMessage="1" showErrorMessage="1" sqref="E301">
      <formula1>DragToggle</formula1>
    </dataValidation>
    <dataValidation type="list" allowBlank="1" showInputMessage="1" showErrorMessage="1" sqref="E302">
      <formula1>DragToggle</formula1>
    </dataValidation>
    <dataValidation type="list" allowBlank="1" showInputMessage="1" showErrorMessage="1" sqref="E303">
      <formula1>DragToggle</formula1>
    </dataValidation>
    <dataValidation type="list" allowBlank="1" showInputMessage="1" showErrorMessage="1" sqref="AZ4">
      <formula1>TelemetryIssues</formula1>
    </dataValidation>
    <dataValidation type="list" allowBlank="1" showInputMessage="1" showErrorMessage="1" sqref="AZ5">
      <formula1>TelemetryIssues</formula1>
    </dataValidation>
    <dataValidation type="list" allowBlank="1" showInputMessage="1" showErrorMessage="1" sqref="AZ6">
      <formula1>TelemetryIssues</formula1>
    </dataValidation>
    <dataValidation type="list" allowBlank="1" showInputMessage="1" showErrorMessage="1" sqref="AZ7">
      <formula1>TelemetryIssues</formula1>
    </dataValidation>
    <dataValidation type="list" allowBlank="1" showInputMessage="1" showErrorMessage="1" sqref="AZ8">
      <formula1>TelemetryIssues</formula1>
    </dataValidation>
    <dataValidation type="list" allowBlank="1" showInputMessage="1" showErrorMessage="1" sqref="AZ9">
      <formula1>TelemetryIssues</formula1>
    </dataValidation>
    <dataValidation type="list" allowBlank="1" showInputMessage="1" showErrorMessage="1" sqref="AZ10">
      <formula1>TelemetryIssues</formula1>
    </dataValidation>
    <dataValidation type="list" allowBlank="1" showInputMessage="1" showErrorMessage="1" sqref="AZ11">
      <formula1>TelemetryIssues</formula1>
    </dataValidation>
    <dataValidation type="list" allowBlank="1" showInputMessage="1" showErrorMessage="1" sqref="AZ12">
      <formula1>TelemetryIssues</formula1>
    </dataValidation>
    <dataValidation type="list" allowBlank="1" showInputMessage="1" showErrorMessage="1" sqref="AZ13">
      <formula1>TelemetryIssues</formula1>
    </dataValidation>
    <dataValidation type="list" allowBlank="1" showInputMessage="1" showErrorMessage="1" sqref="AZ14">
      <formula1>TelemetryIssues</formula1>
    </dataValidation>
    <dataValidation type="list" allowBlank="1" showInputMessage="1" showErrorMessage="1" sqref="AZ15">
      <formula1>TelemetryIssues</formula1>
    </dataValidation>
    <dataValidation type="list" allowBlank="1" showInputMessage="1" showErrorMessage="1" sqref="AZ16">
      <formula1>TelemetryIssues</formula1>
    </dataValidation>
    <dataValidation type="list" allowBlank="1" showInputMessage="1" showErrorMessage="1" sqref="AZ17">
      <formula1>TelemetryIssues</formula1>
    </dataValidation>
    <dataValidation type="list" allowBlank="1" showInputMessage="1" showErrorMessage="1" sqref="AZ18">
      <formula1>TelemetryIssues</formula1>
    </dataValidation>
    <dataValidation type="list" allowBlank="1" showInputMessage="1" showErrorMessage="1" sqref="AZ19">
      <formula1>TelemetryIssues</formula1>
    </dataValidation>
    <dataValidation type="list" allowBlank="1" showInputMessage="1" showErrorMessage="1" sqref="AZ20">
      <formula1>TelemetryIssues</formula1>
    </dataValidation>
    <dataValidation type="list" allowBlank="1" showInputMessage="1" showErrorMessage="1" sqref="AZ21">
      <formula1>TelemetryIssues</formula1>
    </dataValidation>
    <dataValidation type="list" allowBlank="1" showInputMessage="1" showErrorMessage="1" sqref="AZ22">
      <formula1>TelemetryIssues</formula1>
    </dataValidation>
    <dataValidation type="list" allowBlank="1" showInputMessage="1" showErrorMessage="1" sqref="AZ23">
      <formula1>TelemetryIssues</formula1>
    </dataValidation>
    <dataValidation type="list" allowBlank="1" showInputMessage="1" showErrorMessage="1" sqref="AZ24">
      <formula1>TelemetryIssues</formula1>
    </dataValidation>
    <dataValidation type="list" allowBlank="1" showInputMessage="1" showErrorMessage="1" sqref="AZ25">
      <formula1>TelemetryIssues</formula1>
    </dataValidation>
    <dataValidation type="list" allowBlank="1" showInputMessage="1" showErrorMessage="1" sqref="AZ26">
      <formula1>TelemetryIssues</formula1>
    </dataValidation>
    <dataValidation type="list" allowBlank="1" showInputMessage="1" showErrorMessage="1" sqref="AZ27">
      <formula1>TelemetryIssues</formula1>
    </dataValidation>
    <dataValidation type="list" allowBlank="1" showInputMessage="1" showErrorMessage="1" sqref="AZ28">
      <formula1>TelemetryIssues</formula1>
    </dataValidation>
    <dataValidation type="list" allowBlank="1" showInputMessage="1" showErrorMessage="1" sqref="AZ29">
      <formula1>TelemetryIssues</formula1>
    </dataValidation>
    <dataValidation type="list" allowBlank="1" showInputMessage="1" showErrorMessage="1" sqref="AZ30">
      <formula1>TelemetryIssues</formula1>
    </dataValidation>
    <dataValidation type="list" allowBlank="1" showInputMessage="1" showErrorMessage="1" sqref="AZ31">
      <formula1>TelemetryIssues</formula1>
    </dataValidation>
    <dataValidation type="list" allowBlank="1" showInputMessage="1" showErrorMessage="1" sqref="AZ32">
      <formula1>TelemetryIssues</formula1>
    </dataValidation>
    <dataValidation type="list" allowBlank="1" showInputMessage="1" showErrorMessage="1" sqref="AZ33">
      <formula1>TelemetryIssues</formula1>
    </dataValidation>
    <dataValidation type="list" allowBlank="1" showInputMessage="1" showErrorMessage="1" sqref="AZ34">
      <formula1>TelemetryIssues</formula1>
    </dataValidation>
    <dataValidation type="list" allowBlank="1" showInputMessage="1" showErrorMessage="1" sqref="AZ35">
      <formula1>TelemetryIssues</formula1>
    </dataValidation>
    <dataValidation type="list" allowBlank="1" showInputMessage="1" showErrorMessage="1" sqref="AZ36">
      <formula1>TelemetryIssues</formula1>
    </dataValidation>
    <dataValidation type="list" allowBlank="1" showInputMessage="1" showErrorMessage="1" sqref="AZ37">
      <formula1>TelemetryIssues</formula1>
    </dataValidation>
    <dataValidation type="list" allowBlank="1" showInputMessage="1" showErrorMessage="1" sqref="AZ38">
      <formula1>TelemetryIssues</formula1>
    </dataValidation>
    <dataValidation type="list" allowBlank="1" showInputMessage="1" showErrorMessage="1" sqref="AZ39">
      <formula1>TelemetryIssues</formula1>
    </dataValidation>
    <dataValidation type="list" allowBlank="1" showInputMessage="1" showErrorMessage="1" sqref="AZ40">
      <formula1>TelemetryIssues</formula1>
    </dataValidation>
    <dataValidation type="list" allowBlank="1" showInputMessage="1" showErrorMessage="1" sqref="AZ41">
      <formula1>TelemetryIssues</formula1>
    </dataValidation>
    <dataValidation type="list" allowBlank="1" showInputMessage="1" showErrorMessage="1" sqref="AZ42">
      <formula1>TelemetryIssues</formula1>
    </dataValidation>
    <dataValidation type="list" allowBlank="1" showInputMessage="1" showErrorMessage="1" sqref="AZ43">
      <formula1>TelemetryIssues</formula1>
    </dataValidation>
    <dataValidation type="list" allowBlank="1" showInputMessage="1" showErrorMessage="1" sqref="AZ44">
      <formula1>TelemetryIssues</formula1>
    </dataValidation>
    <dataValidation type="list" allowBlank="1" showInputMessage="1" showErrorMessage="1" sqref="AZ45">
      <formula1>TelemetryIssues</formula1>
    </dataValidation>
    <dataValidation type="list" allowBlank="1" showInputMessage="1" showErrorMessage="1" sqref="AZ46">
      <formula1>TelemetryIssues</formula1>
    </dataValidation>
    <dataValidation type="list" allowBlank="1" showInputMessage="1" showErrorMessage="1" sqref="AZ47">
      <formula1>TelemetryIssues</formula1>
    </dataValidation>
    <dataValidation type="list" allowBlank="1" showInputMessage="1" showErrorMessage="1" sqref="AZ48">
      <formula1>TelemetryIssues</formula1>
    </dataValidation>
    <dataValidation type="list" allowBlank="1" showInputMessage="1" showErrorMessage="1" sqref="AZ49">
      <formula1>TelemetryIssues</formula1>
    </dataValidation>
    <dataValidation type="list" allowBlank="1" showInputMessage="1" showErrorMessage="1" sqref="AZ50">
      <formula1>TelemetryIssues</formula1>
    </dataValidation>
    <dataValidation type="list" allowBlank="1" showInputMessage="1" showErrorMessage="1" sqref="AZ51">
      <formula1>TelemetryIssues</formula1>
    </dataValidation>
    <dataValidation type="list" allowBlank="1" showInputMessage="1" showErrorMessage="1" sqref="AZ52">
      <formula1>TelemetryIssues</formula1>
    </dataValidation>
    <dataValidation type="list" allowBlank="1" showInputMessage="1" showErrorMessage="1" sqref="AZ53">
      <formula1>TelemetryIssues</formula1>
    </dataValidation>
    <dataValidation type="list" allowBlank="1" showInputMessage="1" showErrorMessage="1" sqref="AZ54">
      <formula1>TelemetryIssues</formula1>
    </dataValidation>
    <dataValidation type="list" allowBlank="1" showInputMessage="1" showErrorMessage="1" sqref="AZ55">
      <formula1>TelemetryIssues</formula1>
    </dataValidation>
    <dataValidation type="list" allowBlank="1" showInputMessage="1" showErrorMessage="1" sqref="AZ56">
      <formula1>TelemetryIssues</formula1>
    </dataValidation>
    <dataValidation type="list" allowBlank="1" showInputMessage="1" showErrorMessage="1" sqref="AZ57">
      <formula1>TelemetryIssues</formula1>
    </dataValidation>
    <dataValidation type="list" allowBlank="1" showInputMessage="1" showErrorMessage="1" sqref="AZ58">
      <formula1>TelemetryIssues</formula1>
    </dataValidation>
    <dataValidation type="list" allowBlank="1" showInputMessage="1" showErrorMessage="1" sqref="AZ59">
      <formula1>TelemetryIssues</formula1>
    </dataValidation>
    <dataValidation type="list" allowBlank="1" showInputMessage="1" showErrorMessage="1" sqref="AZ60">
      <formula1>TelemetryIssues</formula1>
    </dataValidation>
    <dataValidation type="list" allowBlank="1" showInputMessage="1" showErrorMessage="1" sqref="AZ61">
      <formula1>TelemetryIssues</formula1>
    </dataValidation>
    <dataValidation type="list" allowBlank="1" showInputMessage="1" showErrorMessage="1" sqref="AZ62">
      <formula1>TelemetryIssues</formula1>
    </dataValidation>
    <dataValidation type="list" allowBlank="1" showInputMessage="1" showErrorMessage="1" sqref="AZ63">
      <formula1>TelemetryIssues</formula1>
    </dataValidation>
    <dataValidation type="list" allowBlank="1" showInputMessage="1" showErrorMessage="1" sqref="AZ64">
      <formula1>TelemetryIssues</formula1>
    </dataValidation>
    <dataValidation type="list" allowBlank="1" showInputMessage="1" showErrorMessage="1" sqref="AZ65">
      <formula1>TelemetryIssues</formula1>
    </dataValidation>
    <dataValidation type="list" allowBlank="1" showInputMessage="1" showErrorMessage="1" sqref="AZ66">
      <formula1>TelemetryIssues</formula1>
    </dataValidation>
    <dataValidation type="list" allowBlank="1" showInputMessage="1" showErrorMessage="1" sqref="AZ67">
      <formula1>TelemetryIssues</formula1>
    </dataValidation>
    <dataValidation type="list" allowBlank="1" showInputMessage="1" showErrorMessage="1" sqref="AZ68">
      <formula1>TelemetryIssues</formula1>
    </dataValidation>
    <dataValidation type="list" allowBlank="1" showInputMessage="1" showErrorMessage="1" sqref="AZ69">
      <formula1>TelemetryIssues</formula1>
    </dataValidation>
    <dataValidation type="list" allowBlank="1" showInputMessage="1" showErrorMessage="1" sqref="AZ70">
      <formula1>TelemetryIssues</formula1>
    </dataValidation>
    <dataValidation type="list" allowBlank="1" showInputMessage="1" showErrorMessage="1" sqref="AZ71">
      <formula1>TelemetryIssues</formula1>
    </dataValidation>
    <dataValidation type="list" allowBlank="1" showInputMessage="1" showErrorMessage="1" sqref="AZ72">
      <formula1>TelemetryIssues</formula1>
    </dataValidation>
    <dataValidation type="list" allowBlank="1" showInputMessage="1" showErrorMessage="1" sqref="AZ73">
      <formula1>TelemetryIssues</formula1>
    </dataValidation>
    <dataValidation type="list" allowBlank="1" showInputMessage="1" showErrorMessage="1" sqref="AZ74">
      <formula1>TelemetryIssues</formula1>
    </dataValidation>
    <dataValidation type="list" allowBlank="1" showInputMessage="1" showErrorMessage="1" sqref="AZ75">
      <formula1>TelemetryIssues</formula1>
    </dataValidation>
    <dataValidation type="list" allowBlank="1" showInputMessage="1" showErrorMessage="1" sqref="AZ76">
      <formula1>TelemetryIssues</formula1>
    </dataValidation>
    <dataValidation type="list" allowBlank="1" showInputMessage="1" showErrorMessage="1" sqref="AZ77">
      <formula1>TelemetryIssues</formula1>
    </dataValidation>
    <dataValidation type="list" allowBlank="1" showInputMessage="1" showErrorMessage="1" sqref="AZ78">
      <formula1>TelemetryIssues</formula1>
    </dataValidation>
    <dataValidation type="list" allowBlank="1" showInputMessage="1" showErrorMessage="1" sqref="AZ79">
      <formula1>TelemetryIssues</formula1>
    </dataValidation>
    <dataValidation type="list" allowBlank="1" showInputMessage="1" showErrorMessage="1" sqref="AZ80">
      <formula1>TelemetryIssues</formula1>
    </dataValidation>
    <dataValidation type="list" allowBlank="1" showInputMessage="1" showErrorMessage="1" sqref="AZ81">
      <formula1>TelemetryIssues</formula1>
    </dataValidation>
    <dataValidation type="list" allowBlank="1" showInputMessage="1" showErrorMessage="1" sqref="AZ82">
      <formula1>TelemetryIssues</formula1>
    </dataValidation>
    <dataValidation type="list" allowBlank="1" showInputMessage="1" showErrorMessage="1" sqref="AZ83">
      <formula1>TelemetryIssues</formula1>
    </dataValidation>
    <dataValidation type="list" allowBlank="1" showInputMessage="1" showErrorMessage="1" sqref="AZ84">
      <formula1>TelemetryIssues</formula1>
    </dataValidation>
    <dataValidation type="list" allowBlank="1" showInputMessage="1" showErrorMessage="1" sqref="AZ85">
      <formula1>TelemetryIssues</formula1>
    </dataValidation>
    <dataValidation type="list" allowBlank="1" showInputMessage="1" showErrorMessage="1" sqref="AZ86">
      <formula1>TelemetryIssues</formula1>
    </dataValidation>
    <dataValidation type="list" allowBlank="1" showInputMessage="1" showErrorMessage="1" sqref="AZ87">
      <formula1>TelemetryIssues</formula1>
    </dataValidation>
    <dataValidation type="list" allowBlank="1" showInputMessage="1" showErrorMessage="1" sqref="AZ88">
      <formula1>TelemetryIssues</formula1>
    </dataValidation>
    <dataValidation type="list" allowBlank="1" showInputMessage="1" showErrorMessage="1" sqref="AZ89">
      <formula1>TelemetryIssues</formula1>
    </dataValidation>
    <dataValidation type="list" allowBlank="1" showInputMessage="1" showErrorMessage="1" sqref="AZ90">
      <formula1>TelemetryIssues</formula1>
    </dataValidation>
    <dataValidation type="list" allowBlank="1" showInputMessage="1" showErrorMessage="1" sqref="AZ91">
      <formula1>TelemetryIssues</formula1>
    </dataValidation>
    <dataValidation type="list" allowBlank="1" showInputMessage="1" showErrorMessage="1" sqref="AZ92">
      <formula1>TelemetryIssues</formula1>
    </dataValidation>
    <dataValidation type="list" allowBlank="1" showInputMessage="1" showErrorMessage="1" sqref="AZ93">
      <formula1>TelemetryIssues</formula1>
    </dataValidation>
    <dataValidation type="list" allowBlank="1" showInputMessage="1" showErrorMessage="1" sqref="AZ94">
      <formula1>TelemetryIssues</formula1>
    </dataValidation>
    <dataValidation type="list" allowBlank="1" showInputMessage="1" showErrorMessage="1" sqref="AZ95">
      <formula1>TelemetryIssues</formula1>
    </dataValidation>
    <dataValidation type="list" allowBlank="1" showInputMessage="1" showErrorMessage="1" sqref="AZ96">
      <formula1>TelemetryIssues</formula1>
    </dataValidation>
    <dataValidation type="list" allowBlank="1" showInputMessage="1" showErrorMessage="1" sqref="AZ97">
      <formula1>TelemetryIssues</formula1>
    </dataValidation>
    <dataValidation type="list" allowBlank="1" showInputMessage="1" showErrorMessage="1" sqref="AZ98">
      <formula1>TelemetryIssues</formula1>
    </dataValidation>
    <dataValidation type="list" allowBlank="1" showInputMessage="1" showErrorMessage="1" sqref="AZ99">
      <formula1>TelemetryIssues</formula1>
    </dataValidation>
    <dataValidation type="list" allowBlank="1" showInputMessage="1" showErrorMessage="1" sqref="AZ100">
      <formula1>TelemetryIssues</formula1>
    </dataValidation>
    <dataValidation type="list" allowBlank="1" showInputMessage="1" showErrorMessage="1" sqref="AZ101">
      <formula1>TelemetryIssues</formula1>
    </dataValidation>
    <dataValidation type="list" allowBlank="1" showInputMessage="1" showErrorMessage="1" sqref="AZ102">
      <formula1>TelemetryIssues</formula1>
    </dataValidation>
    <dataValidation type="list" allowBlank="1" showInputMessage="1" showErrorMessage="1" sqref="AZ103">
      <formula1>TelemetryIssues</formula1>
    </dataValidation>
    <dataValidation type="list" allowBlank="1" showInputMessage="1" showErrorMessage="1" sqref="AZ104">
      <formula1>TelemetryIssues</formula1>
    </dataValidation>
    <dataValidation type="list" allowBlank="1" showInputMessage="1" showErrorMessage="1" sqref="AZ105">
      <formula1>TelemetryIssues</formula1>
    </dataValidation>
    <dataValidation type="list" allowBlank="1" showInputMessage="1" showErrorMessage="1" sqref="AZ106">
      <formula1>TelemetryIssues</formula1>
    </dataValidation>
    <dataValidation type="list" allowBlank="1" showInputMessage="1" showErrorMessage="1" sqref="AZ107">
      <formula1>TelemetryIssues</formula1>
    </dataValidation>
    <dataValidation type="list" allowBlank="1" showInputMessage="1" showErrorMessage="1" sqref="AZ108">
      <formula1>TelemetryIssues</formula1>
    </dataValidation>
    <dataValidation type="list" allowBlank="1" showInputMessage="1" showErrorMessage="1" sqref="AZ109">
      <formula1>TelemetryIssues</formula1>
    </dataValidation>
    <dataValidation type="list" allowBlank="1" showInputMessage="1" showErrorMessage="1" sqref="AZ110">
      <formula1>TelemetryIssues</formula1>
    </dataValidation>
    <dataValidation type="list" allowBlank="1" showInputMessage="1" showErrorMessage="1" sqref="AZ111">
      <formula1>TelemetryIssues</formula1>
    </dataValidation>
    <dataValidation type="list" allowBlank="1" showInputMessage="1" showErrorMessage="1" sqref="AZ112">
      <formula1>TelemetryIssues</formula1>
    </dataValidation>
    <dataValidation type="list" allowBlank="1" showInputMessage="1" showErrorMessage="1" sqref="AZ113">
      <formula1>TelemetryIssues</formula1>
    </dataValidation>
    <dataValidation type="list" allowBlank="1" showInputMessage="1" showErrorMessage="1" sqref="AZ114">
      <formula1>TelemetryIssues</formula1>
    </dataValidation>
    <dataValidation type="list" allowBlank="1" showInputMessage="1" showErrorMessage="1" sqref="AZ115">
      <formula1>TelemetryIssues</formula1>
    </dataValidation>
    <dataValidation type="list" allowBlank="1" showInputMessage="1" showErrorMessage="1" sqref="AZ116">
      <formula1>TelemetryIssues</formula1>
    </dataValidation>
    <dataValidation type="list" allowBlank="1" showInputMessage="1" showErrorMessage="1" sqref="AZ117">
      <formula1>TelemetryIssues</formula1>
    </dataValidation>
    <dataValidation type="list" allowBlank="1" showInputMessage="1" showErrorMessage="1" sqref="AZ118">
      <formula1>TelemetryIssues</formula1>
    </dataValidation>
    <dataValidation type="list" allowBlank="1" showInputMessage="1" showErrorMessage="1" sqref="AZ119">
      <formula1>TelemetryIssues</formula1>
    </dataValidation>
    <dataValidation type="list" allowBlank="1" showInputMessage="1" showErrorMessage="1" sqref="AZ120">
      <formula1>TelemetryIssues</formula1>
    </dataValidation>
    <dataValidation type="list" allowBlank="1" showInputMessage="1" showErrorMessage="1" sqref="AZ121">
      <formula1>TelemetryIssues</formula1>
    </dataValidation>
    <dataValidation type="list" allowBlank="1" showInputMessage="1" showErrorMessage="1" sqref="AZ122">
      <formula1>TelemetryIssues</formula1>
    </dataValidation>
    <dataValidation type="list" allowBlank="1" showInputMessage="1" showErrorMessage="1" sqref="AZ123">
      <formula1>TelemetryIssues</formula1>
    </dataValidation>
    <dataValidation type="list" allowBlank="1" showInputMessage="1" showErrorMessage="1" sqref="AZ124">
      <formula1>TelemetryIssues</formula1>
    </dataValidation>
    <dataValidation type="list" allowBlank="1" showInputMessage="1" showErrorMessage="1" sqref="AZ125">
      <formula1>TelemetryIssues</formula1>
    </dataValidation>
    <dataValidation type="list" allowBlank="1" showInputMessage="1" showErrorMessage="1" sqref="AZ126">
      <formula1>TelemetryIssues</formula1>
    </dataValidation>
    <dataValidation type="list" allowBlank="1" showInputMessage="1" showErrorMessage="1" sqref="AZ127">
      <formula1>TelemetryIssues</formula1>
    </dataValidation>
    <dataValidation type="list" allowBlank="1" showInputMessage="1" showErrorMessage="1" sqref="AZ128">
      <formula1>TelemetryIssues</formula1>
    </dataValidation>
    <dataValidation type="list" allowBlank="1" showInputMessage="1" showErrorMessage="1" sqref="AZ129">
      <formula1>TelemetryIssues</formula1>
    </dataValidation>
    <dataValidation type="list" allowBlank="1" showInputMessage="1" showErrorMessage="1" sqref="AZ130">
      <formula1>TelemetryIssues</formula1>
    </dataValidation>
    <dataValidation type="list" allowBlank="1" showInputMessage="1" showErrorMessage="1" sqref="AZ131">
      <formula1>TelemetryIssues</formula1>
    </dataValidation>
    <dataValidation type="list" allowBlank="1" showInputMessage="1" showErrorMessage="1" sqref="AZ132">
      <formula1>TelemetryIssues</formula1>
    </dataValidation>
    <dataValidation type="list" allowBlank="1" showInputMessage="1" showErrorMessage="1" sqref="AZ133">
      <formula1>TelemetryIssues</formula1>
    </dataValidation>
    <dataValidation type="list" allowBlank="1" showInputMessage="1" showErrorMessage="1" sqref="AZ134">
      <formula1>TelemetryIssues</formula1>
    </dataValidation>
    <dataValidation type="list" allowBlank="1" showInputMessage="1" showErrorMessage="1" sqref="AZ135">
      <formula1>TelemetryIssues</formula1>
    </dataValidation>
    <dataValidation type="list" allowBlank="1" showInputMessage="1" showErrorMessage="1" sqref="AZ136">
      <formula1>TelemetryIssues</formula1>
    </dataValidation>
    <dataValidation type="list" allowBlank="1" showInputMessage="1" showErrorMessage="1" sqref="AZ137">
      <formula1>TelemetryIssues</formula1>
    </dataValidation>
    <dataValidation type="list" allowBlank="1" showInputMessage="1" showErrorMessage="1" sqref="AZ138">
      <formula1>TelemetryIssues</formula1>
    </dataValidation>
    <dataValidation type="list" allowBlank="1" showInputMessage="1" showErrorMessage="1" sqref="AZ139">
      <formula1>TelemetryIssues</formula1>
    </dataValidation>
    <dataValidation type="list" allowBlank="1" showInputMessage="1" showErrorMessage="1" sqref="AZ140">
      <formula1>TelemetryIssues</formula1>
    </dataValidation>
    <dataValidation type="list" allowBlank="1" showInputMessage="1" showErrorMessage="1" sqref="AZ141">
      <formula1>TelemetryIssues</formula1>
    </dataValidation>
    <dataValidation type="list" allowBlank="1" showInputMessage="1" showErrorMessage="1" sqref="AZ142">
      <formula1>TelemetryIssues</formula1>
    </dataValidation>
    <dataValidation type="list" allowBlank="1" showInputMessage="1" showErrorMessage="1" sqref="AZ143">
      <formula1>TelemetryIssues</formula1>
    </dataValidation>
    <dataValidation type="list" allowBlank="1" showInputMessage="1" showErrorMessage="1" sqref="AZ144">
      <formula1>TelemetryIssues</formula1>
    </dataValidation>
    <dataValidation type="list" allowBlank="1" showInputMessage="1" showErrorMessage="1" sqref="AZ145">
      <formula1>TelemetryIssues</formula1>
    </dataValidation>
    <dataValidation type="list" allowBlank="1" showInputMessage="1" showErrorMessage="1" sqref="AZ146">
      <formula1>TelemetryIssues</formula1>
    </dataValidation>
    <dataValidation type="list" allowBlank="1" showInputMessage="1" showErrorMessage="1" sqref="AZ147">
      <formula1>TelemetryIssues</formula1>
    </dataValidation>
    <dataValidation type="list" allowBlank="1" showInputMessage="1" showErrorMessage="1" sqref="AZ148">
      <formula1>TelemetryIssues</formula1>
    </dataValidation>
    <dataValidation type="list" allowBlank="1" showInputMessage="1" showErrorMessage="1" sqref="AZ149">
      <formula1>TelemetryIssues</formula1>
    </dataValidation>
    <dataValidation type="list" allowBlank="1" showInputMessage="1" showErrorMessage="1" sqref="AZ150">
      <formula1>TelemetryIssues</formula1>
    </dataValidation>
    <dataValidation type="list" allowBlank="1" showInputMessage="1" showErrorMessage="1" sqref="AZ151">
      <formula1>TelemetryIssues</formula1>
    </dataValidation>
    <dataValidation type="list" allowBlank="1" showInputMessage="1" showErrorMessage="1" sqref="AZ152">
      <formula1>TelemetryIssues</formula1>
    </dataValidation>
    <dataValidation type="list" allowBlank="1" showInputMessage="1" showErrorMessage="1" sqref="AZ153">
      <formula1>TelemetryIssues</formula1>
    </dataValidation>
    <dataValidation type="list" allowBlank="1" showInputMessage="1" showErrorMessage="1" sqref="AZ154">
      <formula1>TelemetryIssues</formula1>
    </dataValidation>
    <dataValidation type="list" allowBlank="1" showInputMessage="1" showErrorMessage="1" sqref="AZ155">
      <formula1>TelemetryIssues</formula1>
    </dataValidation>
    <dataValidation type="list" allowBlank="1" showInputMessage="1" showErrorMessage="1" sqref="AZ156">
      <formula1>TelemetryIssues</formula1>
    </dataValidation>
    <dataValidation type="list" allowBlank="1" showInputMessage="1" showErrorMessage="1" sqref="AZ157">
      <formula1>TelemetryIssues</formula1>
    </dataValidation>
    <dataValidation type="list" allowBlank="1" showInputMessage="1" showErrorMessage="1" sqref="AZ158">
      <formula1>TelemetryIssues</formula1>
    </dataValidation>
    <dataValidation type="list" allowBlank="1" showInputMessage="1" showErrorMessage="1" sqref="AZ159">
      <formula1>TelemetryIssues</formula1>
    </dataValidation>
    <dataValidation type="list" allowBlank="1" showInputMessage="1" showErrorMessage="1" sqref="AZ160">
      <formula1>TelemetryIssues</formula1>
    </dataValidation>
    <dataValidation type="list" allowBlank="1" showInputMessage="1" showErrorMessage="1" sqref="AZ161">
      <formula1>TelemetryIssues</formula1>
    </dataValidation>
    <dataValidation type="list" allowBlank="1" showInputMessage="1" showErrorMessage="1" sqref="AZ162">
      <formula1>TelemetryIssues</formula1>
    </dataValidation>
    <dataValidation type="list" allowBlank="1" showInputMessage="1" showErrorMessage="1" sqref="AZ163">
      <formula1>TelemetryIssues</formula1>
    </dataValidation>
    <dataValidation type="list" allowBlank="1" showInputMessage="1" showErrorMessage="1" sqref="AZ164">
      <formula1>TelemetryIssues</formula1>
    </dataValidation>
    <dataValidation type="list" allowBlank="1" showInputMessage="1" showErrorMessage="1" sqref="AZ165">
      <formula1>TelemetryIssues</formula1>
    </dataValidation>
    <dataValidation type="list" allowBlank="1" showInputMessage="1" showErrorMessage="1" sqref="AZ166">
      <formula1>TelemetryIssues</formula1>
    </dataValidation>
    <dataValidation type="list" allowBlank="1" showInputMessage="1" showErrorMessage="1" sqref="AZ167">
      <formula1>TelemetryIssues</formula1>
    </dataValidation>
    <dataValidation type="list" allowBlank="1" showInputMessage="1" showErrorMessage="1" sqref="AZ168">
      <formula1>TelemetryIssues</formula1>
    </dataValidation>
    <dataValidation type="list" allowBlank="1" showInputMessage="1" showErrorMessage="1" sqref="AZ169">
      <formula1>TelemetryIssues</formula1>
    </dataValidation>
    <dataValidation type="list" allowBlank="1" showInputMessage="1" showErrorMessage="1" sqref="AZ170">
      <formula1>TelemetryIssues</formula1>
    </dataValidation>
    <dataValidation type="list" allowBlank="1" showInputMessage="1" showErrorMessage="1" sqref="AZ171">
      <formula1>TelemetryIssues</formula1>
    </dataValidation>
    <dataValidation type="list" allowBlank="1" showInputMessage="1" showErrorMessage="1" sqref="AZ172">
      <formula1>TelemetryIssues</formula1>
    </dataValidation>
    <dataValidation type="list" allowBlank="1" showInputMessage="1" showErrorMessage="1" sqref="AZ173">
      <formula1>TelemetryIssues</formula1>
    </dataValidation>
    <dataValidation type="list" allowBlank="1" showInputMessage="1" showErrorMessage="1" sqref="AZ174">
      <formula1>TelemetryIssues</formula1>
    </dataValidation>
    <dataValidation type="list" allowBlank="1" showInputMessage="1" showErrorMessage="1" sqref="AZ175">
      <formula1>TelemetryIssues</formula1>
    </dataValidation>
    <dataValidation type="list" allowBlank="1" showInputMessage="1" showErrorMessage="1" sqref="AZ176">
      <formula1>TelemetryIssues</formula1>
    </dataValidation>
    <dataValidation type="list" allowBlank="1" showInputMessage="1" showErrorMessage="1" sqref="AZ177">
      <formula1>TelemetryIssues</formula1>
    </dataValidation>
    <dataValidation type="list" allowBlank="1" showInputMessage="1" showErrorMessage="1" sqref="AZ178">
      <formula1>TelemetryIssues</formula1>
    </dataValidation>
    <dataValidation type="list" allowBlank="1" showInputMessage="1" showErrorMessage="1" sqref="AZ179">
      <formula1>TelemetryIssues</formula1>
    </dataValidation>
    <dataValidation type="list" allowBlank="1" showInputMessage="1" showErrorMessage="1" sqref="AZ180">
      <formula1>TelemetryIssues</formula1>
    </dataValidation>
    <dataValidation type="list" allowBlank="1" showInputMessage="1" showErrorMessage="1" sqref="AZ181">
      <formula1>TelemetryIssues</formula1>
    </dataValidation>
    <dataValidation type="list" allowBlank="1" showInputMessage="1" showErrorMessage="1" sqref="AZ182">
      <formula1>TelemetryIssues</formula1>
    </dataValidation>
    <dataValidation type="list" allowBlank="1" showInputMessage="1" showErrorMessage="1" sqref="AZ183">
      <formula1>TelemetryIssues</formula1>
    </dataValidation>
    <dataValidation type="list" allowBlank="1" showInputMessage="1" showErrorMessage="1" sqref="AZ184">
      <formula1>TelemetryIssues</formula1>
    </dataValidation>
    <dataValidation type="list" allowBlank="1" showInputMessage="1" showErrorMessage="1" sqref="AZ185">
      <formula1>TelemetryIssues</formula1>
    </dataValidation>
    <dataValidation type="list" allowBlank="1" showInputMessage="1" showErrorMessage="1" sqref="AZ186">
      <formula1>TelemetryIssues</formula1>
    </dataValidation>
    <dataValidation type="list" allowBlank="1" showInputMessage="1" showErrorMessage="1" sqref="AZ187">
      <formula1>TelemetryIssues</formula1>
    </dataValidation>
    <dataValidation type="list" allowBlank="1" showInputMessage="1" showErrorMessage="1" sqref="AZ188">
      <formula1>TelemetryIssues</formula1>
    </dataValidation>
    <dataValidation type="list" allowBlank="1" showInputMessage="1" showErrorMessage="1" sqref="AZ189">
      <formula1>TelemetryIssues</formula1>
    </dataValidation>
    <dataValidation type="list" allowBlank="1" showInputMessage="1" showErrorMessage="1" sqref="AZ190">
      <formula1>TelemetryIssues</formula1>
    </dataValidation>
    <dataValidation type="list" allowBlank="1" showInputMessage="1" showErrorMessage="1" sqref="AZ191">
      <formula1>TelemetryIssues</formula1>
    </dataValidation>
    <dataValidation type="list" allowBlank="1" showInputMessage="1" showErrorMessage="1" sqref="AZ192">
      <formula1>TelemetryIssues</formula1>
    </dataValidation>
    <dataValidation type="list" allowBlank="1" showInputMessage="1" showErrorMessage="1" sqref="AZ193">
      <formula1>TelemetryIssues</formula1>
    </dataValidation>
    <dataValidation type="list" allowBlank="1" showInputMessage="1" showErrorMessage="1" sqref="AZ194">
      <formula1>TelemetryIssues</formula1>
    </dataValidation>
    <dataValidation type="list" allowBlank="1" showInputMessage="1" showErrorMessage="1" sqref="AZ195">
      <formula1>TelemetryIssues</formula1>
    </dataValidation>
    <dataValidation type="list" allowBlank="1" showInputMessage="1" showErrorMessage="1" sqref="AZ196">
      <formula1>TelemetryIssues</formula1>
    </dataValidation>
    <dataValidation type="list" allowBlank="1" showInputMessage="1" showErrorMessage="1" sqref="AZ197">
      <formula1>TelemetryIssues</formula1>
    </dataValidation>
    <dataValidation type="list" allowBlank="1" showInputMessage="1" showErrorMessage="1" sqref="AZ198">
      <formula1>TelemetryIssues</formula1>
    </dataValidation>
    <dataValidation type="list" allowBlank="1" showInputMessage="1" showErrorMessage="1" sqref="AZ199">
      <formula1>TelemetryIssues</formula1>
    </dataValidation>
    <dataValidation type="list" allowBlank="1" showInputMessage="1" showErrorMessage="1" sqref="AZ200">
      <formula1>TelemetryIssues</formula1>
    </dataValidation>
    <dataValidation type="list" allowBlank="1" showInputMessage="1" showErrorMessage="1" sqref="AZ201">
      <formula1>TelemetryIssues</formula1>
    </dataValidation>
    <dataValidation type="list" allowBlank="1" showInputMessage="1" showErrorMessage="1" sqref="AZ202">
      <formula1>TelemetryIssues</formula1>
    </dataValidation>
    <dataValidation type="list" allowBlank="1" showInputMessage="1" showErrorMessage="1" sqref="AZ203">
      <formula1>TelemetryIssues</formula1>
    </dataValidation>
    <dataValidation type="list" allowBlank="1" showInputMessage="1" showErrorMessage="1" sqref="AZ204">
      <formula1>TelemetryIssues</formula1>
    </dataValidation>
    <dataValidation type="list" allowBlank="1" showInputMessage="1" showErrorMessage="1" sqref="AZ205">
      <formula1>TelemetryIssues</formula1>
    </dataValidation>
    <dataValidation type="list" allowBlank="1" showInputMessage="1" showErrorMessage="1" sqref="AZ206">
      <formula1>TelemetryIssues</formula1>
    </dataValidation>
    <dataValidation type="list" allowBlank="1" showInputMessage="1" showErrorMessage="1" sqref="AZ207">
      <formula1>TelemetryIssues</formula1>
    </dataValidation>
    <dataValidation type="list" allowBlank="1" showInputMessage="1" showErrorMessage="1" sqref="AZ208">
      <formula1>TelemetryIssues</formula1>
    </dataValidation>
    <dataValidation type="list" allowBlank="1" showInputMessage="1" showErrorMessage="1" sqref="AZ209">
      <formula1>TelemetryIssues</formula1>
    </dataValidation>
    <dataValidation type="list" allowBlank="1" showInputMessage="1" showErrorMessage="1" sqref="AZ210">
      <formula1>TelemetryIssues</formula1>
    </dataValidation>
    <dataValidation type="list" allowBlank="1" showInputMessage="1" showErrorMessage="1" sqref="AZ211">
      <formula1>TelemetryIssues</formula1>
    </dataValidation>
    <dataValidation type="list" allowBlank="1" showInputMessage="1" showErrorMessage="1" sqref="AZ212">
      <formula1>TelemetryIssues</formula1>
    </dataValidation>
    <dataValidation type="list" allowBlank="1" showInputMessage="1" showErrorMessage="1" sqref="AZ213">
      <formula1>TelemetryIssues</formula1>
    </dataValidation>
    <dataValidation type="list" allowBlank="1" showInputMessage="1" showErrorMessage="1" sqref="AZ214">
      <formula1>TelemetryIssues</formula1>
    </dataValidation>
    <dataValidation type="list" allowBlank="1" showInputMessage="1" showErrorMessage="1" sqref="AZ215">
      <formula1>TelemetryIssues</formula1>
    </dataValidation>
    <dataValidation type="list" allowBlank="1" showInputMessage="1" showErrorMessage="1" sqref="AZ216">
      <formula1>TelemetryIssues</formula1>
    </dataValidation>
    <dataValidation type="list" allowBlank="1" showInputMessage="1" showErrorMessage="1" sqref="AZ217">
      <formula1>TelemetryIssues</formula1>
    </dataValidation>
    <dataValidation type="list" allowBlank="1" showInputMessage="1" showErrorMessage="1" sqref="AZ218">
      <formula1>TelemetryIssues</formula1>
    </dataValidation>
    <dataValidation type="list" allowBlank="1" showInputMessage="1" showErrorMessage="1" sqref="AZ219">
      <formula1>TelemetryIssues</formula1>
    </dataValidation>
    <dataValidation type="list" allowBlank="1" showInputMessage="1" showErrorMessage="1" sqref="AZ220">
      <formula1>TelemetryIssues</formula1>
    </dataValidation>
    <dataValidation type="list" allowBlank="1" showInputMessage="1" showErrorMessage="1" sqref="AZ221">
      <formula1>TelemetryIssues</formula1>
    </dataValidation>
    <dataValidation type="list" allowBlank="1" showInputMessage="1" showErrorMessage="1" sqref="AZ222">
      <formula1>TelemetryIssues</formula1>
    </dataValidation>
    <dataValidation type="list" allowBlank="1" showInputMessage="1" showErrorMessage="1" sqref="AZ223">
      <formula1>TelemetryIssues</formula1>
    </dataValidation>
    <dataValidation type="list" allowBlank="1" showInputMessage="1" showErrorMessage="1" sqref="AZ224">
      <formula1>TelemetryIssues</formula1>
    </dataValidation>
    <dataValidation type="list" allowBlank="1" showInputMessage="1" showErrorMessage="1" sqref="AZ225">
      <formula1>TelemetryIssues</formula1>
    </dataValidation>
    <dataValidation type="list" allowBlank="1" showInputMessage="1" showErrorMessage="1" sqref="AZ226">
      <formula1>TelemetryIssues</formula1>
    </dataValidation>
    <dataValidation type="list" allowBlank="1" showInputMessage="1" showErrorMessage="1" sqref="AZ227">
      <formula1>TelemetryIssues</formula1>
    </dataValidation>
    <dataValidation type="list" allowBlank="1" showInputMessage="1" showErrorMessage="1" sqref="AZ228">
      <formula1>TelemetryIssues</formula1>
    </dataValidation>
    <dataValidation type="list" allowBlank="1" showInputMessage="1" showErrorMessage="1" sqref="AZ229">
      <formula1>TelemetryIssues</formula1>
    </dataValidation>
    <dataValidation type="list" allowBlank="1" showInputMessage="1" showErrorMessage="1" sqref="AZ230">
      <formula1>TelemetryIssues</formula1>
    </dataValidation>
    <dataValidation type="list" allowBlank="1" showInputMessage="1" showErrorMessage="1" sqref="AZ231">
      <formula1>TelemetryIssues</formula1>
    </dataValidation>
    <dataValidation type="list" allowBlank="1" showInputMessage="1" showErrorMessage="1" sqref="AZ232">
      <formula1>TelemetryIssues</formula1>
    </dataValidation>
    <dataValidation type="list" allowBlank="1" showInputMessage="1" showErrorMessage="1" sqref="AZ233">
      <formula1>TelemetryIssues</formula1>
    </dataValidation>
    <dataValidation type="list" allowBlank="1" showInputMessage="1" showErrorMessage="1" sqref="AZ234">
      <formula1>TelemetryIssues</formula1>
    </dataValidation>
    <dataValidation type="list" allowBlank="1" showInputMessage="1" showErrorMessage="1" sqref="AZ235">
      <formula1>TelemetryIssues</formula1>
    </dataValidation>
    <dataValidation type="list" allowBlank="1" showInputMessage="1" showErrorMessage="1" sqref="AZ236">
      <formula1>TelemetryIssues</formula1>
    </dataValidation>
    <dataValidation type="list" allowBlank="1" showInputMessage="1" showErrorMessage="1" sqref="AZ237">
      <formula1>TelemetryIssues</formula1>
    </dataValidation>
    <dataValidation type="list" allowBlank="1" showInputMessage="1" showErrorMessage="1" sqref="AZ238">
      <formula1>TelemetryIssues</formula1>
    </dataValidation>
    <dataValidation type="list" allowBlank="1" showInputMessage="1" showErrorMessage="1" sqref="AZ239">
      <formula1>TelemetryIssues</formula1>
    </dataValidation>
    <dataValidation type="list" allowBlank="1" showInputMessage="1" showErrorMessage="1" sqref="AZ240">
      <formula1>TelemetryIssues</formula1>
    </dataValidation>
    <dataValidation type="list" allowBlank="1" showInputMessage="1" showErrorMessage="1" sqref="AZ241">
      <formula1>TelemetryIssues</formula1>
    </dataValidation>
    <dataValidation type="list" allowBlank="1" showInputMessage="1" showErrorMessage="1" sqref="AZ242">
      <formula1>TelemetryIssues</formula1>
    </dataValidation>
    <dataValidation type="list" allowBlank="1" showInputMessage="1" showErrorMessage="1" sqref="AZ243">
      <formula1>TelemetryIssues</formula1>
    </dataValidation>
    <dataValidation type="list" allowBlank="1" showInputMessage="1" showErrorMessage="1" sqref="AZ244">
      <formula1>TelemetryIssues</formula1>
    </dataValidation>
    <dataValidation type="list" allowBlank="1" showInputMessage="1" showErrorMessage="1" sqref="AZ245">
      <formula1>TelemetryIssues</formula1>
    </dataValidation>
    <dataValidation type="list" allowBlank="1" showInputMessage="1" showErrorMessage="1" sqref="AZ246">
      <formula1>TelemetryIssues</formula1>
    </dataValidation>
    <dataValidation type="list" allowBlank="1" showInputMessage="1" showErrorMessage="1" sqref="AZ247">
      <formula1>TelemetryIssues</formula1>
    </dataValidation>
    <dataValidation type="list" allowBlank="1" showInputMessage="1" showErrorMessage="1" sqref="AZ248">
      <formula1>TelemetryIssues</formula1>
    </dataValidation>
    <dataValidation type="list" allowBlank="1" showInputMessage="1" showErrorMessage="1" sqref="AZ249">
      <formula1>TelemetryIssues</formula1>
    </dataValidation>
    <dataValidation type="list" allowBlank="1" showInputMessage="1" showErrorMessage="1" sqref="AZ250">
      <formula1>TelemetryIssues</formula1>
    </dataValidation>
    <dataValidation type="list" allowBlank="1" showInputMessage="1" showErrorMessage="1" sqref="AZ251">
      <formula1>TelemetryIssues</formula1>
    </dataValidation>
    <dataValidation type="list" allowBlank="1" showInputMessage="1" showErrorMessage="1" sqref="AZ252">
      <formula1>TelemetryIssues</formula1>
    </dataValidation>
    <dataValidation type="list" allowBlank="1" showInputMessage="1" showErrorMessage="1" sqref="AZ253">
      <formula1>TelemetryIssues</formula1>
    </dataValidation>
    <dataValidation type="list" allowBlank="1" showInputMessage="1" showErrorMessage="1" sqref="AZ254">
      <formula1>TelemetryIssues</formula1>
    </dataValidation>
    <dataValidation type="list" allowBlank="1" showInputMessage="1" showErrorMessage="1" sqref="AZ255">
      <formula1>TelemetryIssues</formula1>
    </dataValidation>
    <dataValidation type="list" allowBlank="1" showInputMessage="1" showErrorMessage="1" sqref="AZ256">
      <formula1>TelemetryIssues</formula1>
    </dataValidation>
    <dataValidation type="list" allowBlank="1" showInputMessage="1" showErrorMessage="1" sqref="AZ257">
      <formula1>TelemetryIssues</formula1>
    </dataValidation>
    <dataValidation type="list" allowBlank="1" showInputMessage="1" showErrorMessage="1" sqref="AZ258">
      <formula1>TelemetryIssues</formula1>
    </dataValidation>
    <dataValidation type="list" allowBlank="1" showInputMessage="1" showErrorMessage="1" sqref="AZ259">
      <formula1>TelemetryIssues</formula1>
    </dataValidation>
    <dataValidation type="list" allowBlank="1" showInputMessage="1" showErrorMessage="1" sqref="AZ260">
      <formula1>TelemetryIssues</formula1>
    </dataValidation>
    <dataValidation type="list" allowBlank="1" showInputMessage="1" showErrorMessage="1" sqref="AZ261">
      <formula1>TelemetryIssues</formula1>
    </dataValidation>
    <dataValidation type="list" allowBlank="1" showInputMessage="1" showErrorMessage="1" sqref="AZ262">
      <formula1>TelemetryIssues</formula1>
    </dataValidation>
    <dataValidation type="list" allowBlank="1" showInputMessage="1" showErrorMessage="1" sqref="AZ263">
      <formula1>TelemetryIssues</formula1>
    </dataValidation>
    <dataValidation type="list" allowBlank="1" showInputMessage="1" showErrorMessage="1" sqref="AZ264">
      <formula1>TelemetryIssues</formula1>
    </dataValidation>
    <dataValidation type="list" allowBlank="1" showInputMessage="1" showErrorMessage="1" sqref="AZ265">
      <formula1>TelemetryIssues</formula1>
    </dataValidation>
    <dataValidation type="list" allowBlank="1" showInputMessage="1" showErrorMessage="1" sqref="AZ266">
      <formula1>TelemetryIssues</formula1>
    </dataValidation>
    <dataValidation type="list" allowBlank="1" showInputMessage="1" showErrorMessage="1" sqref="AZ267">
      <formula1>TelemetryIssues</formula1>
    </dataValidation>
    <dataValidation type="list" allowBlank="1" showInputMessage="1" showErrorMessage="1" sqref="AZ268">
      <formula1>TelemetryIssues</formula1>
    </dataValidation>
    <dataValidation type="list" allowBlank="1" showInputMessage="1" showErrorMessage="1" sqref="AZ269">
      <formula1>TelemetryIssues</formula1>
    </dataValidation>
    <dataValidation type="list" allowBlank="1" showInputMessage="1" showErrorMessage="1" sqref="AZ270">
      <formula1>TelemetryIssues</formula1>
    </dataValidation>
    <dataValidation type="list" allowBlank="1" showInputMessage="1" showErrorMessage="1" sqref="AZ271">
      <formula1>TelemetryIssues</formula1>
    </dataValidation>
    <dataValidation type="list" allowBlank="1" showInputMessage="1" showErrorMessage="1" sqref="AZ272">
      <formula1>TelemetryIssues</formula1>
    </dataValidation>
    <dataValidation type="list" allowBlank="1" showInputMessage="1" showErrorMessage="1" sqref="AZ273">
      <formula1>TelemetryIssues</formula1>
    </dataValidation>
    <dataValidation type="list" allowBlank="1" showInputMessage="1" showErrorMessage="1" sqref="AZ274">
      <formula1>TelemetryIssues</formula1>
    </dataValidation>
    <dataValidation type="list" allowBlank="1" showInputMessage="1" showErrorMessage="1" sqref="AZ275">
      <formula1>TelemetryIssues</formula1>
    </dataValidation>
    <dataValidation type="list" allowBlank="1" showInputMessage="1" showErrorMessage="1" sqref="AZ276">
      <formula1>TelemetryIssues</formula1>
    </dataValidation>
    <dataValidation type="list" allowBlank="1" showInputMessage="1" showErrorMessage="1" sqref="AZ277">
      <formula1>TelemetryIssues</formula1>
    </dataValidation>
    <dataValidation type="list" allowBlank="1" showInputMessage="1" showErrorMessage="1" sqref="AZ278">
      <formula1>TelemetryIssues</formula1>
    </dataValidation>
    <dataValidation type="list" allowBlank="1" showInputMessage="1" showErrorMessage="1" sqref="AZ279">
      <formula1>TelemetryIssues</formula1>
    </dataValidation>
    <dataValidation type="list" allowBlank="1" showInputMessage="1" showErrorMessage="1" sqref="AZ280">
      <formula1>TelemetryIssues</formula1>
    </dataValidation>
    <dataValidation type="list" allowBlank="1" showInputMessage="1" showErrorMessage="1" sqref="AZ281">
      <formula1>TelemetryIssues</formula1>
    </dataValidation>
    <dataValidation type="list" allowBlank="1" showInputMessage="1" showErrorMessage="1" sqref="AZ282">
      <formula1>TelemetryIssues</formula1>
    </dataValidation>
    <dataValidation type="list" allowBlank="1" showInputMessage="1" showErrorMessage="1" sqref="AZ283">
      <formula1>TelemetryIssues</formula1>
    </dataValidation>
    <dataValidation type="list" allowBlank="1" showInputMessage="1" showErrorMessage="1" sqref="AZ284">
      <formula1>TelemetryIssues</formula1>
    </dataValidation>
    <dataValidation type="list" allowBlank="1" showInputMessage="1" showErrorMessage="1" sqref="AZ285">
      <formula1>TelemetryIssues</formula1>
    </dataValidation>
    <dataValidation type="list" allowBlank="1" showInputMessage="1" showErrorMessage="1" sqref="AZ286">
      <formula1>TelemetryIssues</formula1>
    </dataValidation>
    <dataValidation type="list" allowBlank="1" showInputMessage="1" showErrorMessage="1" sqref="AZ287">
      <formula1>TelemetryIssues</formula1>
    </dataValidation>
    <dataValidation type="list" allowBlank="1" showInputMessage="1" showErrorMessage="1" sqref="AZ288">
      <formula1>TelemetryIssues</formula1>
    </dataValidation>
    <dataValidation type="list" allowBlank="1" showInputMessage="1" showErrorMessage="1" sqref="AZ289">
      <formula1>TelemetryIssues</formula1>
    </dataValidation>
    <dataValidation type="list" allowBlank="1" showInputMessage="1" showErrorMessage="1" sqref="AZ290">
      <formula1>TelemetryIssues</formula1>
    </dataValidation>
    <dataValidation type="list" allowBlank="1" showInputMessage="1" showErrorMessage="1" sqref="AZ291">
      <formula1>TelemetryIssues</formula1>
    </dataValidation>
    <dataValidation type="list" allowBlank="1" showInputMessage="1" showErrorMessage="1" sqref="AZ292">
      <formula1>TelemetryIssues</formula1>
    </dataValidation>
    <dataValidation type="list" allowBlank="1" showInputMessage="1" showErrorMessage="1" sqref="AZ293">
      <formula1>TelemetryIssues</formula1>
    </dataValidation>
    <dataValidation type="list" allowBlank="1" showInputMessage="1" showErrorMessage="1" sqref="AZ294">
      <formula1>TelemetryIssues</formula1>
    </dataValidation>
    <dataValidation type="list" allowBlank="1" showInputMessage="1" showErrorMessage="1" sqref="AZ295">
      <formula1>TelemetryIssues</formula1>
    </dataValidation>
    <dataValidation type="list" allowBlank="1" showInputMessage="1" showErrorMessage="1" sqref="AZ296">
      <formula1>TelemetryIssues</formula1>
    </dataValidation>
    <dataValidation type="list" allowBlank="1" showInputMessage="1" showErrorMessage="1" sqref="AZ297">
      <formula1>TelemetryIssues</formula1>
    </dataValidation>
    <dataValidation type="list" allowBlank="1" showInputMessage="1" showErrorMessage="1" sqref="AZ298">
      <formula1>TelemetryIssues</formula1>
    </dataValidation>
    <dataValidation type="list" allowBlank="1" showInputMessage="1" showErrorMessage="1" sqref="AZ299">
      <formula1>TelemetryIssues</formula1>
    </dataValidation>
    <dataValidation type="list" allowBlank="1" showInputMessage="1" showErrorMessage="1" sqref="AZ300">
      <formula1>TelemetryIssues</formula1>
    </dataValidation>
    <dataValidation type="list" allowBlank="1" showInputMessage="1" showErrorMessage="1" sqref="AZ301">
      <formula1>TelemetryIssues</formula1>
    </dataValidation>
    <dataValidation type="list" allowBlank="1" showInputMessage="1" showErrorMessage="1" sqref="AZ302">
      <formula1>TelemetryIssues</formula1>
    </dataValidation>
    <dataValidation type="list" allowBlank="1" showInputMessage="1" showErrorMessage="1" sqref="AZ303">
      <formula1>TelemetryIssues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54</v>
      </c>
      <c r="B1" t="s">
        <v>58</v>
      </c>
      <c r="C1" t="s">
        <v>68</v>
      </c>
      <c r="D1" t="s">
        <v>55</v>
      </c>
      <c r="E1" t="s">
        <v>73</v>
      </c>
      <c r="F1" t="s">
        <v>57</v>
      </c>
    </row>
    <row r="2" spans="1:7">
      <c r="A2" t="s">
        <v>62</v>
      </c>
      <c r="B2" t="s">
        <v>66</v>
      </c>
      <c r="C2" t="s">
        <v>69</v>
      </c>
      <c r="D2" t="s">
        <v>72</v>
      </c>
      <c r="E2" t="s">
        <v>74</v>
      </c>
      <c r="F2" t="s">
        <v>75</v>
      </c>
      <c r="G2" t="s">
        <v>76</v>
      </c>
    </row>
    <row r="3" spans="1:7">
      <c r="A3" t="s">
        <v>63</v>
      </c>
      <c r="B3" t="s">
        <v>67</v>
      </c>
      <c r="C3" t="s">
        <v>70</v>
      </c>
      <c r="E3" t="s">
        <v>56</v>
      </c>
      <c r="G3" t="s">
        <v>77</v>
      </c>
    </row>
    <row r="4" spans="1:7">
      <c r="A4" t="s">
        <v>64</v>
      </c>
      <c r="C4" t="s">
        <v>59</v>
      </c>
      <c r="G4" t="s">
        <v>78</v>
      </c>
    </row>
    <row r="5" spans="1:7">
      <c r="A5" t="s">
        <v>65</v>
      </c>
      <c r="C5" t="s">
        <v>71</v>
      </c>
      <c r="G5" t="s">
        <v>79</v>
      </c>
    </row>
    <row r="6" spans="1:7">
      <c r="G6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20.7109375" customWidth="1"/>
  </cols>
  <sheetData>
    <row r="1" spans="1:1">
      <c r="A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Pro Generator</vt:lpstr>
      <vt:lpstr>Lists</vt:lpstr>
      <vt:lpstr>Notes</vt:lpstr>
      <vt:lpstr>ControllerTypes</vt:lpstr>
      <vt:lpstr>Disciplines</vt:lpstr>
      <vt:lpstr>DragToggle</vt:lpstr>
      <vt:lpstr>DriveStyles</vt:lpstr>
      <vt:lpstr>Drivetrains</vt:lpstr>
      <vt:lpstr>TelemetryIssues</vt:lpstr>
      <vt:lpstr>TireTypes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2025-09-24T19:22:57Z</dcterms:created>
  <dcterms:modified xsi:type="dcterms:W3CDTF">2025-09-24T19:22:57Z</dcterms:modified>
</cp:coreProperties>
</file>