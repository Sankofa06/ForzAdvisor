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ne Generator" sheetId="1" r:id="rId1"/>
    <sheet name="Lists" sheetId="2" state="hidden" r:id="rId2"/>
    <sheet name="Notes" sheetId="3" r:id="rId3"/>
  </sheets>
  <definedNames>
    <definedName name="Disciplines">Lists!$A$1:$A$5</definedName>
    <definedName name="Drivetrains">Lists!$B$1:$B$3</definedName>
    <definedName name="TireTypes">Lists!$C$1:$C$5</definedName>
  </definedNames>
  <calcPr calcId="124519" fullCalcOnLoad="1"/>
</workbook>
</file>

<file path=xl/sharedStrings.xml><?xml version="1.0" encoding="utf-8"?>
<sst xmlns="http://schemas.openxmlformats.org/spreadsheetml/2006/main" count="66" uniqueCount="63">
  <si>
    <t>Car</t>
  </si>
  <si>
    <t>Discipline</t>
  </si>
  <si>
    <t>Power_hp</t>
  </si>
  <si>
    <t>Weight_kg</t>
  </si>
  <si>
    <t>FrontWeight_pct</t>
  </si>
  <si>
    <t>Drivetrain</t>
  </si>
  <si>
    <t>TireType</t>
  </si>
  <si>
    <t>FrontTireWidth_mm</t>
  </si>
  <si>
    <t>RearTireWidth_mm</t>
  </si>
  <si>
    <t>TargetTopSpeed_mph</t>
  </si>
  <si>
    <t>Redline_rpm</t>
  </si>
  <si>
    <t>PeakPower_rpm</t>
  </si>
  <si>
    <t>AeroFront_pct</t>
  </si>
  <si>
    <t>AeroRear_pct</t>
  </si>
  <si>
    <t>TirePressure_F_PSI</t>
  </si>
  <si>
    <t>TirePressure_R_PSI</t>
  </si>
  <si>
    <t>Camber_F_deg</t>
  </si>
  <si>
    <t>Camber_R_deg</t>
  </si>
  <si>
    <t>Toe_F_deg</t>
  </si>
  <si>
    <t>Toe_R_deg</t>
  </si>
  <si>
    <t>Caster_deg</t>
  </si>
  <si>
    <t>ARB_F</t>
  </si>
  <si>
    <t>ARB_R</t>
  </si>
  <si>
    <t>Springs_F_lb_in</t>
  </si>
  <si>
    <t>Springs_R_lb_in</t>
  </si>
  <si>
    <t>RideHeight_F</t>
  </si>
  <si>
    <t>RideHeight_R</t>
  </si>
  <si>
    <t>Rebound_F</t>
  </si>
  <si>
    <t>Rebound_R</t>
  </si>
  <si>
    <t>Bump_F</t>
  </si>
  <si>
    <t>Bump_R</t>
  </si>
  <si>
    <t>BrakeBalance_F_pct</t>
  </si>
  <si>
    <t>BrakePressure_pct</t>
  </si>
  <si>
    <t>Diff_Front_Accel_pct</t>
  </si>
  <si>
    <t>Diff_Front_Decel_pct</t>
  </si>
  <si>
    <t>Diff_Rear_Accel_pct</t>
  </si>
  <si>
    <t>Diff_Rear_Decel_pct</t>
  </si>
  <si>
    <t>Diff_Center_Balance_pct</t>
  </si>
  <si>
    <t>First_Gear</t>
  </si>
  <si>
    <t>Second_Gear</t>
  </si>
  <si>
    <t>Third_Gear</t>
  </si>
  <si>
    <t>Fourth_Gear</t>
  </si>
  <si>
    <t>Fifth_Gear</t>
  </si>
  <si>
    <t>Sixth_Gear</t>
  </si>
  <si>
    <t>Seventh_Gear</t>
  </si>
  <si>
    <t>Eighth_Gear</t>
  </si>
  <si>
    <t>Suggested_Final_Drive</t>
  </si>
  <si>
    <t>2020 Corvette Stingray (C8)</t>
  </si>
  <si>
    <t>Circuit/Grip</t>
  </si>
  <si>
    <t>RWD</t>
  </si>
  <si>
    <t>Slick/Semi-slick</t>
  </si>
  <si>
    <t>Forza Horizon 5 - Baseline Tune Generator (enter inputs in the gray columns; outputs auto-calc)</t>
  </si>
  <si>
    <t>Drag</t>
  </si>
  <si>
    <t>Top Speed</t>
  </si>
  <si>
    <t>Drift</t>
  </si>
  <si>
    <t>Rally/Off-road</t>
  </si>
  <si>
    <t>AWD</t>
  </si>
  <si>
    <t>FWD</t>
  </si>
  <si>
    <t>Stock/Street</t>
  </si>
  <si>
    <t>Sport</t>
  </si>
  <si>
    <t>Race</t>
  </si>
  <si>
    <t>Off-road</t>
  </si>
  <si>
    <t xml:space="preserve">How to use:
1) On the 'Tune Generator' sheet, edit the gray INPUT columns per car/build.
   - Discipline: affects many sliders.
   - Drivetrain: unlocks appropriate differential outputs.
   - TireType: nudges pressures and camber.
   - TargetTopSpeed is used only to bias gearing (you still set FD in-game to hit your actual top end).
   - Redline/PeakPower are present for future versions; the current gearing helper spaces gears geometrically.
2) Copy the first row down to create multiple cars. The formulas will auto-apply.
3) Interpret the outputs as BASELINES:
   - If you experience corner-entry understeer: soften ARB_F a bit, or add Camber_F (more negative), or increase BrakeBalance_F.
   - Corner-exit oversteer on RWD: reduce Diff_Rear_Accel or soften Springs_R / Rebound_R.
   - Snap oversteer at high speed: increase Rear Aero, add a touch of Toe_R in (+0.05), or move BrakeBalance forward.
4) Gearing helper:
   - First_Gear is set by discipline &amp; drivetrain. Eighth_Gear ~1.00 (or 0.90 for top speed). Ratios interpolate geometrically.
   - In-game, set Final Drive so that top gear just kisses redline at your fastest straight.
   - If you have fewer than 8 gears, ignore the extras; if you have more, extend the same step factor.
5) Differential quick rules:
   - RWD grip: 80/20 is a solid start. Too much push off-throttle? Reduce Decel to ~15.
   - AWD: Front 15/10, Rear 75/20, Center 60 is neutral. More rotation? Drop Front Accel or raise Rear Accel.
   - FWD: 80/10. Wheel hop or torque steer? Lower Accel to 70 and reduce First_Gear slightly.
6) Springs heuristic:
   - (Weight_lb * axle share) / 10 gives a baseline spring rate per axle; adjust +/-50 for track vs. off-road.
7) Tires:
   - Heavier cars and hotter ambient temps like +1–2 PSI. Slicks can run ~1 PSI lower for grip.
This is intentionally conservative. It should be stable out of the box and then respond well to 2–5 click changes based on your driving style.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</si>
</sst>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EEEE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14" width="18.7109375" customWidth="1"/>
    <col min="15" max="28" width="16.7109375" customWidth="1"/>
  </cols>
  <sheetData>
    <row r="1" spans="1:47">
      <c r="A1" t="s">
        <v>51</v>
      </c>
    </row>
    <row r="2" spans="1:4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>
        <f>ROUND( IF(B2="Drag",32,IF(B2="Top Speed",33,29))+IF(D2&gt;1700,1,0)+IF(G2="Slick/Semi-slick",-1,0), 0)</f>
        <v>0</v>
      </c>
      <c r="P2">
        <f>ROUND(O2+IF(F2="RWD",1,0)+IF(E2&lt;45,0.5,0)+IF(B2="Drag",1,0),0)</f>
        <v>0</v>
      </c>
      <c r="Q2">
        <f>ROUND(-0.8-IF(B2="Circuit/Grip",0.5,0)+IF(G2="Slick/Semi-slick",-0.2,0),2)</f>
        <v>0</v>
      </c>
      <c r="R2">
        <f>ROUND(-0.4-IF(F2="RWD",0.3,0)+IF(B2="Drag",0.3,0),2)</f>
        <v>0</v>
      </c>
      <c r="S2">
        <f>IF(B2="Circuit/Grip",0,IF(B2="Drift",0.10,0))</f>
        <v>0</v>
      </c>
      <c r="T2">
        <f>IF(B2="Drift",0.10,0)</f>
        <v>0</v>
      </c>
      <c r="U2">
        <f>IF(B2="Circuit/Grip",6.0,IF(B2="Top Speed",7.0,IF(B2="Drag",4.0,5.0)))</f>
        <v>0</v>
      </c>
      <c r="V2">
        <f>ROUND((D2/1000)*25+IF(E2&gt;55,5,0)+IF(B2="Drift",-5,0),0)</f>
        <v>0</v>
      </c>
      <c r="W2">
        <f>ROUND((D2/1000)*22+IF(E2&lt;45,5,0)+IF(B2="Circuit/Grip",3,0)+IF(B2="Drift",5,0),0)</f>
        <v>0</v>
      </c>
      <c r="X2">
        <f>ROUND(((D2*2.20462)*(E2/100))/10 + IF(B2="Rally/Off-road",-50,50),0)</f>
        <v>0</v>
      </c>
      <c r="Y2">
        <f>ROUND(((D2*2.20462)*(1-(E2/100)))/10 + IF(B2="Rally/Off-road",-50,50),0)</f>
        <v>0</v>
      </c>
      <c r="Z2">
        <f>IF(B2="Rally/Off-road",0.8,0.2)</f>
        <v>0</v>
      </c>
      <c r="AA2">
        <f>IF(B2="Rally/Off-road",0.8,0.25)</f>
        <v>0</v>
      </c>
      <c r="AB2">
        <f>ROUND(7+IF(B2="Drift",-1,0)+IF(B2="Rally/Off-road",-2,0),1)</f>
        <v>0</v>
      </c>
      <c r="AC2">
        <f>ROUND(7.5+IF(B2="Drift",-1,0)+IF(B2="Rally/Off-road",-2,0),1)</f>
        <v>0</v>
      </c>
      <c r="AD2">
        <f>ROUND(AB2/1.6,1)</f>
        <v>0</v>
      </c>
      <c r="AE2">
        <f>ROUND(AC2/1.6,1)</f>
        <v>0</v>
      </c>
      <c r="AF2">
        <f>ROUND( 60 + IF(E2&gt;55,5,0) - IF(F2="RWD",2,0),0)</f>
        <v>0</v>
      </c>
      <c r="AG2">
        <f>IF(B2="Drag",120,IF(B2="Top Speed",110,100))</f>
        <v>0</v>
      </c>
      <c r="AH2">
        <f>IF(F2="AWD",15,IF(F2="FWD",80,))</f>
        <v>0</v>
      </c>
      <c r="AI2">
        <f>IF(F2="AWD",10,IF(F2="FWD",15,))</f>
        <v>0</v>
      </c>
      <c r="AJ2">
        <f>IF(F2="RWD",80,IF(F2="AWD",75,))</f>
        <v>0</v>
      </c>
      <c r="AK2">
        <f>IF(F2="RWD",20,IF(F2="AWD",20,IF(F2="FWD",10,)))</f>
        <v>0</v>
      </c>
      <c r="AL2">
        <f>IF(F2="AWD",60,)</f>
        <v>0</v>
      </c>
      <c r="AM2">
        <f>ROUND( IF(B2="Drag",3.20,IF(F2="RWD",2.80,IF(F2="AWD",2.60,3.00))) ,2)</f>
        <v>0</v>
      </c>
      <c r="AN2">
        <f>ROUND(AM2 * POWER(AT2/AM2,1/7),2)</f>
        <v>0</v>
      </c>
      <c r="AO2">
        <f>ROUND(AN2 * POWER(AT2/AM2,1/7),2)</f>
        <v>0</v>
      </c>
      <c r="AP2">
        <f>ROUND(AO2 * POWER(AT2/AM2,1/7),2)</f>
        <v>0</v>
      </c>
      <c r="AQ2">
        <f>ROUND(AP2 * POWER(AT2/AM2,1/7),2)</f>
        <v>0</v>
      </c>
      <c r="AR2">
        <f>ROUND(AQ2 * POWER(AT2/AM2,1/7),2)</f>
        <v>0</v>
      </c>
      <c r="AS2">
        <f>ROUND(AR2 * POWER(AT2/AM2,1/7),2)</f>
        <v>0</v>
      </c>
      <c r="AT2">
        <f>ROUND( IF(B2="Top Speed",0.90,1.00) ,2)</f>
        <v>0</v>
      </c>
      <c r="AU2">
        <f>ROUND( IF(B2="Drag",3.80, IF(B2="Top Speed",2.60,3.20)), 2)</f>
        <v>0</v>
      </c>
    </row>
    <row r="3" spans="1:47">
      <c r="A3" t="s">
        <v>47</v>
      </c>
      <c r="B3" t="s">
        <v>48</v>
      </c>
      <c r="C3">
        <v>495</v>
      </c>
      <c r="D3">
        <v>1530</v>
      </c>
      <c r="E3">
        <v>40</v>
      </c>
      <c r="F3" t="s">
        <v>49</v>
      </c>
      <c r="G3" t="s">
        <v>50</v>
      </c>
      <c r="H3">
        <v>285</v>
      </c>
      <c r="I3">
        <v>315</v>
      </c>
      <c r="J3">
        <v>190</v>
      </c>
      <c r="K3">
        <v>7400</v>
      </c>
      <c r="L3">
        <v>6200</v>
      </c>
      <c r="M3">
        <v>60</v>
      </c>
      <c r="N3">
        <v>70</v>
      </c>
    </row>
  </sheetData>
  <conditionalFormatting sqref="A2:A501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B2:B501">
    <cfRule type="notContainsBlanks" dxfId="0" priority="3">
      <formula>LEN(TRIM(B2))&gt;0</formula>
    </cfRule>
    <cfRule type="containsBlanks" dxfId="0" priority="4">
      <formula>LEN(TRIM(B2))=0</formula>
    </cfRule>
  </conditionalFormatting>
  <conditionalFormatting sqref="C2:C501">
    <cfRule type="notContainsBlanks" dxfId="0" priority="5">
      <formula>LEN(TRIM(C2))&gt;0</formula>
    </cfRule>
    <cfRule type="containsBlanks" dxfId="0" priority="6">
      <formula>LEN(TRIM(C2))=0</formula>
    </cfRule>
  </conditionalFormatting>
  <conditionalFormatting sqref="D2:D501">
    <cfRule type="notContainsBlanks" dxfId="0" priority="7">
      <formula>LEN(TRIM(D2))&gt;0</formula>
    </cfRule>
    <cfRule type="containsBlanks" dxfId="0" priority="8">
      <formula>LEN(TRIM(D2))=0</formula>
    </cfRule>
  </conditionalFormatting>
  <conditionalFormatting sqref="E2:E501">
    <cfRule type="notContainsBlanks" dxfId="0" priority="9">
      <formula>LEN(TRIM(E2))&gt;0</formula>
    </cfRule>
    <cfRule type="containsBlanks" dxfId="0" priority="10">
      <formula>LEN(TRIM(E2))=0</formula>
    </cfRule>
  </conditionalFormatting>
  <conditionalFormatting sqref="F2:F501">
    <cfRule type="notContainsBlanks" dxfId="0" priority="11">
      <formula>LEN(TRIM(F2))&gt;0</formula>
    </cfRule>
    <cfRule type="containsBlanks" dxfId="0" priority="12">
      <formula>LEN(TRIM(F2))=0</formula>
    </cfRule>
  </conditionalFormatting>
  <conditionalFormatting sqref="G2:G501">
    <cfRule type="notContainsBlanks" dxfId="0" priority="13">
      <formula>LEN(TRIM(G2))&gt;0</formula>
    </cfRule>
    <cfRule type="containsBlanks" dxfId="0" priority="14">
      <formula>LEN(TRIM(G2))=0</formula>
    </cfRule>
  </conditionalFormatting>
  <conditionalFormatting sqref="H2:H501">
    <cfRule type="notContainsBlanks" dxfId="0" priority="15">
      <formula>LEN(TRIM(H2))&gt;0</formula>
    </cfRule>
    <cfRule type="containsBlanks" dxfId="0" priority="16">
      <formula>LEN(TRIM(H2))=0</formula>
    </cfRule>
  </conditionalFormatting>
  <conditionalFormatting sqref="I2:I501">
    <cfRule type="notContainsBlanks" dxfId="0" priority="17">
      <formula>LEN(TRIM(I2))&gt;0</formula>
    </cfRule>
    <cfRule type="containsBlanks" dxfId="0" priority="18">
      <formula>LEN(TRIM(I2))=0</formula>
    </cfRule>
  </conditionalFormatting>
  <conditionalFormatting sqref="J2:J501">
    <cfRule type="notContainsBlanks" dxfId="0" priority="19">
      <formula>LEN(TRIM(J2))&gt;0</formula>
    </cfRule>
    <cfRule type="containsBlanks" dxfId="0" priority="20">
      <formula>LEN(TRIM(J2))=0</formula>
    </cfRule>
  </conditionalFormatting>
  <conditionalFormatting sqref="K2:K501">
    <cfRule type="notContainsBlanks" dxfId="0" priority="21">
      <formula>LEN(TRIM(K2))&gt;0</formula>
    </cfRule>
    <cfRule type="containsBlanks" dxfId="0" priority="22">
      <formula>LEN(TRIM(K2))=0</formula>
    </cfRule>
  </conditionalFormatting>
  <conditionalFormatting sqref="L2:L501">
    <cfRule type="notContainsBlanks" dxfId="0" priority="23">
      <formula>LEN(TRIM(L2))&gt;0</formula>
    </cfRule>
    <cfRule type="containsBlanks" dxfId="0" priority="24">
      <formula>LEN(TRIM(L2))=0</formula>
    </cfRule>
  </conditionalFormatting>
  <conditionalFormatting sqref="M2:M501">
    <cfRule type="notContainsBlanks" dxfId="0" priority="25">
      <formula>LEN(TRIM(M2))&gt;0</formula>
    </cfRule>
    <cfRule type="containsBlanks" dxfId="0" priority="26">
      <formula>LEN(TRIM(M2))=0</formula>
    </cfRule>
  </conditionalFormatting>
  <conditionalFormatting sqref="N2:N501">
    <cfRule type="notContainsBlanks" dxfId="0" priority="27">
      <formula>LEN(TRIM(N2))&gt;0</formula>
    </cfRule>
    <cfRule type="containsBlanks" dxfId="0" priority="28">
      <formula>LEN(TRIM(N2))=0</formula>
    </cfRule>
  </conditionalFormatting>
  <dataValidations count="600">
    <dataValidation type="list" allowBlank="1" showInputMessage="1" showErrorMessage="1" sqref="B3">
      <formula1>Disciplines</formula1>
    </dataValidation>
    <dataValidation type="list" allowBlank="1" showInputMessage="1" showErrorMessage="1" sqref="F3">
      <formula1>Drivetrains</formula1>
    </dataValidation>
    <dataValidation type="list" allowBlank="1" showInputMessage="1" showErrorMessage="1" sqref="G3">
      <formula1>TireTypes</formula1>
    </dataValidation>
    <dataValidation type="list" allowBlank="1" showInputMessage="1" showErrorMessage="1" sqref="B4">
      <formula1>Disciplines</formula1>
    </dataValidation>
    <dataValidation type="list" allowBlank="1" showInputMessage="1" showErrorMessage="1" sqref="F4">
      <formula1>Drivetrains</formula1>
    </dataValidation>
    <dataValidation type="list" allowBlank="1" showInputMessage="1" showErrorMessage="1" sqref="G4">
      <formula1>TireTypes</formula1>
    </dataValidation>
    <dataValidation type="list" allowBlank="1" showInputMessage="1" showErrorMessage="1" sqref="B5">
      <formula1>Disciplines</formula1>
    </dataValidation>
    <dataValidation type="list" allowBlank="1" showInputMessage="1" showErrorMessage="1" sqref="F5">
      <formula1>Drivetrains</formula1>
    </dataValidation>
    <dataValidation type="list" allowBlank="1" showInputMessage="1" showErrorMessage="1" sqref="G5">
      <formula1>TireTypes</formula1>
    </dataValidation>
    <dataValidation type="list" allowBlank="1" showInputMessage="1" showErrorMessage="1" sqref="B6">
      <formula1>Disciplines</formula1>
    </dataValidation>
    <dataValidation type="list" allowBlank="1" showInputMessage="1" showErrorMessage="1" sqref="F6">
      <formula1>Drivetrains</formula1>
    </dataValidation>
    <dataValidation type="list" allowBlank="1" showInputMessage="1" showErrorMessage="1" sqref="G6">
      <formula1>TireTypes</formula1>
    </dataValidation>
    <dataValidation type="list" allowBlank="1" showInputMessage="1" showErrorMessage="1" sqref="B7">
      <formula1>Disciplines</formula1>
    </dataValidation>
    <dataValidation type="list" allowBlank="1" showInputMessage="1" showErrorMessage="1" sqref="F7">
      <formula1>Drivetrains</formula1>
    </dataValidation>
    <dataValidation type="list" allowBlank="1" showInputMessage="1" showErrorMessage="1" sqref="G7">
      <formula1>TireTypes</formula1>
    </dataValidation>
    <dataValidation type="list" allowBlank="1" showInputMessage="1" showErrorMessage="1" sqref="B8">
      <formula1>Disciplines</formula1>
    </dataValidation>
    <dataValidation type="list" allowBlank="1" showInputMessage="1" showErrorMessage="1" sqref="F8">
      <formula1>Drivetrains</formula1>
    </dataValidation>
    <dataValidation type="list" allowBlank="1" showInputMessage="1" showErrorMessage="1" sqref="G8">
      <formula1>TireTypes</formula1>
    </dataValidation>
    <dataValidation type="list" allowBlank="1" showInputMessage="1" showErrorMessage="1" sqref="B9">
      <formula1>Disciplines</formula1>
    </dataValidation>
    <dataValidation type="list" allowBlank="1" showInputMessage="1" showErrorMessage="1" sqref="F9">
      <formula1>Drivetrains</formula1>
    </dataValidation>
    <dataValidation type="list" allowBlank="1" showInputMessage="1" showErrorMessage="1" sqref="G9">
      <formula1>TireTypes</formula1>
    </dataValidation>
    <dataValidation type="list" allowBlank="1" showInputMessage="1" showErrorMessage="1" sqref="B10">
      <formula1>Disciplines</formula1>
    </dataValidation>
    <dataValidation type="list" allowBlank="1" showInputMessage="1" showErrorMessage="1" sqref="F10">
      <formula1>Drivetrains</formula1>
    </dataValidation>
    <dataValidation type="list" allowBlank="1" showInputMessage="1" showErrorMessage="1" sqref="G10">
      <formula1>TireTypes</formula1>
    </dataValidation>
    <dataValidation type="list" allowBlank="1" showInputMessage="1" showErrorMessage="1" sqref="B11">
      <formula1>Disciplines</formula1>
    </dataValidation>
    <dataValidation type="list" allowBlank="1" showInputMessage="1" showErrorMessage="1" sqref="F11">
      <formula1>Drivetrains</formula1>
    </dataValidation>
    <dataValidation type="list" allowBlank="1" showInputMessage="1" showErrorMessage="1" sqref="G11">
      <formula1>TireTypes</formula1>
    </dataValidation>
    <dataValidation type="list" allowBlank="1" showInputMessage="1" showErrorMessage="1" sqref="B12">
      <formula1>Disciplines</formula1>
    </dataValidation>
    <dataValidation type="list" allowBlank="1" showInputMessage="1" showErrorMessage="1" sqref="F12">
      <formula1>Drivetrains</formula1>
    </dataValidation>
    <dataValidation type="list" allowBlank="1" showInputMessage="1" showErrorMessage="1" sqref="G12">
      <formula1>TireTypes</formula1>
    </dataValidation>
    <dataValidation type="list" allowBlank="1" showInputMessage="1" showErrorMessage="1" sqref="B13">
      <formula1>Disciplines</formula1>
    </dataValidation>
    <dataValidation type="list" allowBlank="1" showInputMessage="1" showErrorMessage="1" sqref="F13">
      <formula1>Drivetrains</formula1>
    </dataValidation>
    <dataValidation type="list" allowBlank="1" showInputMessage="1" showErrorMessage="1" sqref="G13">
      <formula1>TireTypes</formula1>
    </dataValidation>
    <dataValidation type="list" allowBlank="1" showInputMessage="1" showErrorMessage="1" sqref="B14">
      <formula1>Disciplines</formula1>
    </dataValidation>
    <dataValidation type="list" allowBlank="1" showInputMessage="1" showErrorMessage="1" sqref="F14">
      <formula1>Drivetrains</formula1>
    </dataValidation>
    <dataValidation type="list" allowBlank="1" showInputMessage="1" showErrorMessage="1" sqref="G14">
      <formula1>TireTypes</formula1>
    </dataValidation>
    <dataValidation type="list" allowBlank="1" showInputMessage="1" showErrorMessage="1" sqref="B15">
      <formula1>Disciplines</formula1>
    </dataValidation>
    <dataValidation type="list" allowBlank="1" showInputMessage="1" showErrorMessage="1" sqref="F15">
      <formula1>Drivetrains</formula1>
    </dataValidation>
    <dataValidation type="list" allowBlank="1" showInputMessage="1" showErrorMessage="1" sqref="G15">
      <formula1>TireTypes</formula1>
    </dataValidation>
    <dataValidation type="list" allowBlank="1" showInputMessage="1" showErrorMessage="1" sqref="B16">
      <formula1>Disciplines</formula1>
    </dataValidation>
    <dataValidation type="list" allowBlank="1" showInputMessage="1" showErrorMessage="1" sqref="F16">
      <formula1>Drivetrains</formula1>
    </dataValidation>
    <dataValidation type="list" allowBlank="1" showInputMessage="1" showErrorMessage="1" sqref="G16">
      <formula1>TireTypes</formula1>
    </dataValidation>
    <dataValidation type="list" allowBlank="1" showInputMessage="1" showErrorMessage="1" sqref="B17">
      <formula1>Disciplines</formula1>
    </dataValidation>
    <dataValidation type="list" allowBlank="1" showInputMessage="1" showErrorMessage="1" sqref="F17">
      <formula1>Drivetrains</formula1>
    </dataValidation>
    <dataValidation type="list" allowBlank="1" showInputMessage="1" showErrorMessage="1" sqref="G17">
      <formula1>TireTypes</formula1>
    </dataValidation>
    <dataValidation type="list" allowBlank="1" showInputMessage="1" showErrorMessage="1" sqref="B18">
      <formula1>Disciplines</formula1>
    </dataValidation>
    <dataValidation type="list" allowBlank="1" showInputMessage="1" showErrorMessage="1" sqref="F18">
      <formula1>Drivetrains</formula1>
    </dataValidation>
    <dataValidation type="list" allowBlank="1" showInputMessage="1" showErrorMessage="1" sqref="G18">
      <formula1>TireTypes</formula1>
    </dataValidation>
    <dataValidation type="list" allowBlank="1" showInputMessage="1" showErrorMessage="1" sqref="B19">
      <formula1>Disciplines</formula1>
    </dataValidation>
    <dataValidation type="list" allowBlank="1" showInputMessage="1" showErrorMessage="1" sqref="F19">
      <formula1>Drivetrains</formula1>
    </dataValidation>
    <dataValidation type="list" allowBlank="1" showInputMessage="1" showErrorMessage="1" sqref="G19">
      <formula1>TireTypes</formula1>
    </dataValidation>
    <dataValidation type="list" allowBlank="1" showInputMessage="1" showErrorMessage="1" sqref="B20">
      <formula1>Disciplines</formula1>
    </dataValidation>
    <dataValidation type="list" allowBlank="1" showInputMessage="1" showErrorMessage="1" sqref="F20">
      <formula1>Drivetrains</formula1>
    </dataValidation>
    <dataValidation type="list" allowBlank="1" showInputMessage="1" showErrorMessage="1" sqref="G20">
      <formula1>TireTypes</formula1>
    </dataValidation>
    <dataValidation type="list" allowBlank="1" showInputMessage="1" showErrorMessage="1" sqref="B21">
      <formula1>Disciplines</formula1>
    </dataValidation>
    <dataValidation type="list" allowBlank="1" showInputMessage="1" showErrorMessage="1" sqref="F21">
      <formula1>Drivetrains</formula1>
    </dataValidation>
    <dataValidation type="list" allowBlank="1" showInputMessage="1" showErrorMessage="1" sqref="G21">
      <formula1>TireTypes</formula1>
    </dataValidation>
    <dataValidation type="list" allowBlank="1" showInputMessage="1" showErrorMessage="1" sqref="B22">
      <formula1>Disciplines</formula1>
    </dataValidation>
    <dataValidation type="list" allowBlank="1" showInputMessage="1" showErrorMessage="1" sqref="F22">
      <formula1>Drivetrains</formula1>
    </dataValidation>
    <dataValidation type="list" allowBlank="1" showInputMessage="1" showErrorMessage="1" sqref="G22">
      <formula1>TireTypes</formula1>
    </dataValidation>
    <dataValidation type="list" allowBlank="1" showInputMessage="1" showErrorMessage="1" sqref="B23">
      <formula1>Disciplines</formula1>
    </dataValidation>
    <dataValidation type="list" allowBlank="1" showInputMessage="1" showErrorMessage="1" sqref="F23">
      <formula1>Drivetrains</formula1>
    </dataValidation>
    <dataValidation type="list" allowBlank="1" showInputMessage="1" showErrorMessage="1" sqref="G23">
      <formula1>TireTypes</formula1>
    </dataValidation>
    <dataValidation type="list" allowBlank="1" showInputMessage="1" showErrorMessage="1" sqref="B24">
      <formula1>Disciplines</formula1>
    </dataValidation>
    <dataValidation type="list" allowBlank="1" showInputMessage="1" showErrorMessage="1" sqref="F24">
      <formula1>Drivetrains</formula1>
    </dataValidation>
    <dataValidation type="list" allowBlank="1" showInputMessage="1" showErrorMessage="1" sqref="G24">
      <formula1>TireTypes</formula1>
    </dataValidation>
    <dataValidation type="list" allowBlank="1" showInputMessage="1" showErrorMessage="1" sqref="B25">
      <formula1>Disciplines</formula1>
    </dataValidation>
    <dataValidation type="list" allowBlank="1" showInputMessage="1" showErrorMessage="1" sqref="F25">
      <formula1>Drivetrains</formula1>
    </dataValidation>
    <dataValidation type="list" allowBlank="1" showInputMessage="1" showErrorMessage="1" sqref="G25">
      <formula1>TireTypes</formula1>
    </dataValidation>
    <dataValidation type="list" allowBlank="1" showInputMessage="1" showErrorMessage="1" sqref="B26">
      <formula1>Disciplines</formula1>
    </dataValidation>
    <dataValidation type="list" allowBlank="1" showInputMessage="1" showErrorMessage="1" sqref="F26">
      <formula1>Drivetrains</formula1>
    </dataValidation>
    <dataValidation type="list" allowBlank="1" showInputMessage="1" showErrorMessage="1" sqref="G26">
      <formula1>TireTypes</formula1>
    </dataValidation>
    <dataValidation type="list" allowBlank="1" showInputMessage="1" showErrorMessage="1" sqref="B27">
      <formula1>Disciplines</formula1>
    </dataValidation>
    <dataValidation type="list" allowBlank="1" showInputMessage="1" showErrorMessage="1" sqref="F27">
      <formula1>Drivetrains</formula1>
    </dataValidation>
    <dataValidation type="list" allowBlank="1" showInputMessage="1" showErrorMessage="1" sqref="G27">
      <formula1>TireTypes</formula1>
    </dataValidation>
    <dataValidation type="list" allowBlank="1" showInputMessage="1" showErrorMessage="1" sqref="B28">
      <formula1>Disciplines</formula1>
    </dataValidation>
    <dataValidation type="list" allowBlank="1" showInputMessage="1" showErrorMessage="1" sqref="F28">
      <formula1>Drivetrains</formula1>
    </dataValidation>
    <dataValidation type="list" allowBlank="1" showInputMessage="1" showErrorMessage="1" sqref="G28">
      <formula1>TireTypes</formula1>
    </dataValidation>
    <dataValidation type="list" allowBlank="1" showInputMessage="1" showErrorMessage="1" sqref="B29">
      <formula1>Disciplines</formula1>
    </dataValidation>
    <dataValidation type="list" allowBlank="1" showInputMessage="1" showErrorMessage="1" sqref="F29">
      <formula1>Drivetrains</formula1>
    </dataValidation>
    <dataValidation type="list" allowBlank="1" showInputMessage="1" showErrorMessage="1" sqref="G29">
      <formula1>TireTypes</formula1>
    </dataValidation>
    <dataValidation type="list" allowBlank="1" showInputMessage="1" showErrorMessage="1" sqref="B30">
      <formula1>Disciplines</formula1>
    </dataValidation>
    <dataValidation type="list" allowBlank="1" showInputMessage="1" showErrorMessage="1" sqref="F30">
      <formula1>Drivetrains</formula1>
    </dataValidation>
    <dataValidation type="list" allowBlank="1" showInputMessage="1" showErrorMessage="1" sqref="G30">
      <formula1>TireTypes</formula1>
    </dataValidation>
    <dataValidation type="list" allowBlank="1" showInputMessage="1" showErrorMessage="1" sqref="B31">
      <formula1>Disciplines</formula1>
    </dataValidation>
    <dataValidation type="list" allowBlank="1" showInputMessage="1" showErrorMessage="1" sqref="F31">
      <formula1>Drivetrains</formula1>
    </dataValidation>
    <dataValidation type="list" allowBlank="1" showInputMessage="1" showErrorMessage="1" sqref="G31">
      <formula1>TireTypes</formula1>
    </dataValidation>
    <dataValidation type="list" allowBlank="1" showInputMessage="1" showErrorMessage="1" sqref="B32">
      <formula1>Disciplines</formula1>
    </dataValidation>
    <dataValidation type="list" allowBlank="1" showInputMessage="1" showErrorMessage="1" sqref="F32">
      <formula1>Drivetrains</formula1>
    </dataValidation>
    <dataValidation type="list" allowBlank="1" showInputMessage="1" showErrorMessage="1" sqref="G32">
      <formula1>TireTypes</formula1>
    </dataValidation>
    <dataValidation type="list" allowBlank="1" showInputMessage="1" showErrorMessage="1" sqref="B33">
      <formula1>Disciplines</formula1>
    </dataValidation>
    <dataValidation type="list" allowBlank="1" showInputMessage="1" showErrorMessage="1" sqref="F33">
      <formula1>Drivetrains</formula1>
    </dataValidation>
    <dataValidation type="list" allowBlank="1" showInputMessage="1" showErrorMessage="1" sqref="G33">
      <formula1>TireTypes</formula1>
    </dataValidation>
    <dataValidation type="list" allowBlank="1" showInputMessage="1" showErrorMessage="1" sqref="B34">
      <formula1>Disciplines</formula1>
    </dataValidation>
    <dataValidation type="list" allowBlank="1" showInputMessage="1" showErrorMessage="1" sqref="F34">
      <formula1>Drivetrains</formula1>
    </dataValidation>
    <dataValidation type="list" allowBlank="1" showInputMessage="1" showErrorMessage="1" sqref="G34">
      <formula1>TireTypes</formula1>
    </dataValidation>
    <dataValidation type="list" allowBlank="1" showInputMessage="1" showErrorMessage="1" sqref="B35">
      <formula1>Disciplines</formula1>
    </dataValidation>
    <dataValidation type="list" allowBlank="1" showInputMessage="1" showErrorMessage="1" sqref="F35">
      <formula1>Drivetrains</formula1>
    </dataValidation>
    <dataValidation type="list" allowBlank="1" showInputMessage="1" showErrorMessage="1" sqref="G35">
      <formula1>TireTypes</formula1>
    </dataValidation>
    <dataValidation type="list" allowBlank="1" showInputMessage="1" showErrorMessage="1" sqref="B36">
      <formula1>Disciplines</formula1>
    </dataValidation>
    <dataValidation type="list" allowBlank="1" showInputMessage="1" showErrorMessage="1" sqref="F36">
      <formula1>Drivetrains</formula1>
    </dataValidation>
    <dataValidation type="list" allowBlank="1" showInputMessage="1" showErrorMessage="1" sqref="G36">
      <formula1>TireTypes</formula1>
    </dataValidation>
    <dataValidation type="list" allowBlank="1" showInputMessage="1" showErrorMessage="1" sqref="B37">
      <formula1>Disciplines</formula1>
    </dataValidation>
    <dataValidation type="list" allowBlank="1" showInputMessage="1" showErrorMessage="1" sqref="F37">
      <formula1>Drivetrains</formula1>
    </dataValidation>
    <dataValidation type="list" allowBlank="1" showInputMessage="1" showErrorMessage="1" sqref="G37">
      <formula1>TireTypes</formula1>
    </dataValidation>
    <dataValidation type="list" allowBlank="1" showInputMessage="1" showErrorMessage="1" sqref="B38">
      <formula1>Disciplines</formula1>
    </dataValidation>
    <dataValidation type="list" allowBlank="1" showInputMessage="1" showErrorMessage="1" sqref="F38">
      <formula1>Drivetrains</formula1>
    </dataValidation>
    <dataValidation type="list" allowBlank="1" showInputMessage="1" showErrorMessage="1" sqref="G38">
      <formula1>TireTypes</formula1>
    </dataValidation>
    <dataValidation type="list" allowBlank="1" showInputMessage="1" showErrorMessage="1" sqref="B39">
      <formula1>Disciplines</formula1>
    </dataValidation>
    <dataValidation type="list" allowBlank="1" showInputMessage="1" showErrorMessage="1" sqref="F39">
      <formula1>Drivetrains</formula1>
    </dataValidation>
    <dataValidation type="list" allowBlank="1" showInputMessage="1" showErrorMessage="1" sqref="G39">
      <formula1>TireTypes</formula1>
    </dataValidation>
    <dataValidation type="list" allowBlank="1" showInputMessage="1" showErrorMessage="1" sqref="B40">
      <formula1>Disciplines</formula1>
    </dataValidation>
    <dataValidation type="list" allowBlank="1" showInputMessage="1" showErrorMessage="1" sqref="F40">
      <formula1>Drivetrains</formula1>
    </dataValidation>
    <dataValidation type="list" allowBlank="1" showInputMessage="1" showErrorMessage="1" sqref="G40">
      <formula1>TireTypes</formula1>
    </dataValidation>
    <dataValidation type="list" allowBlank="1" showInputMessage="1" showErrorMessage="1" sqref="B41">
      <formula1>Disciplines</formula1>
    </dataValidation>
    <dataValidation type="list" allowBlank="1" showInputMessage="1" showErrorMessage="1" sqref="F41">
      <formula1>Drivetrains</formula1>
    </dataValidation>
    <dataValidation type="list" allowBlank="1" showInputMessage="1" showErrorMessage="1" sqref="G41">
      <formula1>TireTypes</formula1>
    </dataValidation>
    <dataValidation type="list" allowBlank="1" showInputMessage="1" showErrorMessage="1" sqref="B42">
      <formula1>Disciplines</formula1>
    </dataValidation>
    <dataValidation type="list" allowBlank="1" showInputMessage="1" showErrorMessage="1" sqref="F42">
      <formula1>Drivetrains</formula1>
    </dataValidation>
    <dataValidation type="list" allowBlank="1" showInputMessage="1" showErrorMessage="1" sqref="G42">
      <formula1>TireTypes</formula1>
    </dataValidation>
    <dataValidation type="list" allowBlank="1" showInputMessage="1" showErrorMessage="1" sqref="B43">
      <formula1>Disciplines</formula1>
    </dataValidation>
    <dataValidation type="list" allowBlank="1" showInputMessage="1" showErrorMessage="1" sqref="F43">
      <formula1>Drivetrains</formula1>
    </dataValidation>
    <dataValidation type="list" allowBlank="1" showInputMessage="1" showErrorMessage="1" sqref="G43">
      <formula1>TireTypes</formula1>
    </dataValidation>
    <dataValidation type="list" allowBlank="1" showInputMessage="1" showErrorMessage="1" sqref="B44">
      <formula1>Disciplines</formula1>
    </dataValidation>
    <dataValidation type="list" allowBlank="1" showInputMessage="1" showErrorMessage="1" sqref="F44">
      <formula1>Drivetrains</formula1>
    </dataValidation>
    <dataValidation type="list" allowBlank="1" showInputMessage="1" showErrorMessage="1" sqref="G44">
      <formula1>TireTypes</formula1>
    </dataValidation>
    <dataValidation type="list" allowBlank="1" showInputMessage="1" showErrorMessage="1" sqref="B45">
      <formula1>Disciplines</formula1>
    </dataValidation>
    <dataValidation type="list" allowBlank="1" showInputMessage="1" showErrorMessage="1" sqref="F45">
      <formula1>Drivetrains</formula1>
    </dataValidation>
    <dataValidation type="list" allowBlank="1" showInputMessage="1" showErrorMessage="1" sqref="G45">
      <formula1>TireTypes</formula1>
    </dataValidation>
    <dataValidation type="list" allowBlank="1" showInputMessage="1" showErrorMessage="1" sqref="B46">
      <formula1>Disciplines</formula1>
    </dataValidation>
    <dataValidation type="list" allowBlank="1" showInputMessage="1" showErrorMessage="1" sqref="F46">
      <formula1>Drivetrains</formula1>
    </dataValidation>
    <dataValidation type="list" allowBlank="1" showInputMessage="1" showErrorMessage="1" sqref="G46">
      <formula1>TireTypes</formula1>
    </dataValidation>
    <dataValidation type="list" allowBlank="1" showInputMessage="1" showErrorMessage="1" sqref="B47">
      <formula1>Disciplines</formula1>
    </dataValidation>
    <dataValidation type="list" allowBlank="1" showInputMessage="1" showErrorMessage="1" sqref="F47">
      <formula1>Drivetrains</formula1>
    </dataValidation>
    <dataValidation type="list" allowBlank="1" showInputMessage="1" showErrorMessage="1" sqref="G47">
      <formula1>TireTypes</formula1>
    </dataValidation>
    <dataValidation type="list" allowBlank="1" showInputMessage="1" showErrorMessage="1" sqref="B48">
      <formula1>Disciplines</formula1>
    </dataValidation>
    <dataValidation type="list" allowBlank="1" showInputMessage="1" showErrorMessage="1" sqref="F48">
      <formula1>Drivetrains</formula1>
    </dataValidation>
    <dataValidation type="list" allowBlank="1" showInputMessage="1" showErrorMessage="1" sqref="G48">
      <formula1>TireTypes</formula1>
    </dataValidation>
    <dataValidation type="list" allowBlank="1" showInputMessage="1" showErrorMessage="1" sqref="B49">
      <formula1>Disciplines</formula1>
    </dataValidation>
    <dataValidation type="list" allowBlank="1" showInputMessage="1" showErrorMessage="1" sqref="F49">
      <formula1>Drivetrains</formula1>
    </dataValidation>
    <dataValidation type="list" allowBlank="1" showInputMessage="1" showErrorMessage="1" sqref="G49">
      <formula1>TireTypes</formula1>
    </dataValidation>
    <dataValidation type="list" allowBlank="1" showInputMessage="1" showErrorMessage="1" sqref="B50">
      <formula1>Disciplines</formula1>
    </dataValidation>
    <dataValidation type="list" allowBlank="1" showInputMessage="1" showErrorMessage="1" sqref="F50">
      <formula1>Drivetrains</formula1>
    </dataValidation>
    <dataValidation type="list" allowBlank="1" showInputMessage="1" showErrorMessage="1" sqref="G50">
      <formula1>TireTypes</formula1>
    </dataValidation>
    <dataValidation type="list" allowBlank="1" showInputMessage="1" showErrorMessage="1" sqref="B51">
      <formula1>Disciplines</formula1>
    </dataValidation>
    <dataValidation type="list" allowBlank="1" showInputMessage="1" showErrorMessage="1" sqref="F51">
      <formula1>Drivetrains</formula1>
    </dataValidation>
    <dataValidation type="list" allowBlank="1" showInputMessage="1" showErrorMessage="1" sqref="G51">
      <formula1>TireTypes</formula1>
    </dataValidation>
    <dataValidation type="list" allowBlank="1" showInputMessage="1" showErrorMessage="1" sqref="B52">
      <formula1>Disciplines</formula1>
    </dataValidation>
    <dataValidation type="list" allowBlank="1" showInputMessage="1" showErrorMessage="1" sqref="F52">
      <formula1>Drivetrains</formula1>
    </dataValidation>
    <dataValidation type="list" allowBlank="1" showInputMessage="1" showErrorMessage="1" sqref="G52">
      <formula1>TireTypes</formula1>
    </dataValidation>
    <dataValidation type="list" allowBlank="1" showInputMessage="1" showErrorMessage="1" sqref="B53">
      <formula1>Disciplines</formula1>
    </dataValidation>
    <dataValidation type="list" allowBlank="1" showInputMessage="1" showErrorMessage="1" sqref="F53">
      <formula1>Drivetrains</formula1>
    </dataValidation>
    <dataValidation type="list" allowBlank="1" showInputMessage="1" showErrorMessage="1" sqref="G53">
      <formula1>TireTypes</formula1>
    </dataValidation>
    <dataValidation type="list" allowBlank="1" showInputMessage="1" showErrorMessage="1" sqref="B54">
      <formula1>Disciplines</formula1>
    </dataValidation>
    <dataValidation type="list" allowBlank="1" showInputMessage="1" showErrorMessage="1" sqref="F54">
      <formula1>Drivetrains</formula1>
    </dataValidation>
    <dataValidation type="list" allowBlank="1" showInputMessage="1" showErrorMessage="1" sqref="G54">
      <formula1>TireTypes</formula1>
    </dataValidation>
    <dataValidation type="list" allowBlank="1" showInputMessage="1" showErrorMessage="1" sqref="B55">
      <formula1>Disciplines</formula1>
    </dataValidation>
    <dataValidation type="list" allowBlank="1" showInputMessage="1" showErrorMessage="1" sqref="F55">
      <formula1>Drivetrains</formula1>
    </dataValidation>
    <dataValidation type="list" allowBlank="1" showInputMessage="1" showErrorMessage="1" sqref="G55">
      <formula1>TireTypes</formula1>
    </dataValidation>
    <dataValidation type="list" allowBlank="1" showInputMessage="1" showErrorMessage="1" sqref="B56">
      <formula1>Disciplines</formula1>
    </dataValidation>
    <dataValidation type="list" allowBlank="1" showInputMessage="1" showErrorMessage="1" sqref="F56">
      <formula1>Drivetrains</formula1>
    </dataValidation>
    <dataValidation type="list" allowBlank="1" showInputMessage="1" showErrorMessage="1" sqref="G56">
      <formula1>TireTypes</formula1>
    </dataValidation>
    <dataValidation type="list" allowBlank="1" showInputMessage="1" showErrorMessage="1" sqref="B57">
      <formula1>Disciplines</formula1>
    </dataValidation>
    <dataValidation type="list" allowBlank="1" showInputMessage="1" showErrorMessage="1" sqref="F57">
      <formula1>Drivetrains</formula1>
    </dataValidation>
    <dataValidation type="list" allowBlank="1" showInputMessage="1" showErrorMessage="1" sqref="G57">
      <formula1>TireTypes</formula1>
    </dataValidation>
    <dataValidation type="list" allowBlank="1" showInputMessage="1" showErrorMessage="1" sqref="B58">
      <formula1>Disciplines</formula1>
    </dataValidation>
    <dataValidation type="list" allowBlank="1" showInputMessage="1" showErrorMessage="1" sqref="F58">
      <formula1>Drivetrains</formula1>
    </dataValidation>
    <dataValidation type="list" allowBlank="1" showInputMessage="1" showErrorMessage="1" sqref="G58">
      <formula1>TireTypes</formula1>
    </dataValidation>
    <dataValidation type="list" allowBlank="1" showInputMessage="1" showErrorMessage="1" sqref="B59">
      <formula1>Disciplines</formula1>
    </dataValidation>
    <dataValidation type="list" allowBlank="1" showInputMessage="1" showErrorMessage="1" sqref="F59">
      <formula1>Drivetrains</formula1>
    </dataValidation>
    <dataValidation type="list" allowBlank="1" showInputMessage="1" showErrorMessage="1" sqref="G59">
      <formula1>TireTypes</formula1>
    </dataValidation>
    <dataValidation type="list" allowBlank="1" showInputMessage="1" showErrorMessage="1" sqref="B60">
      <formula1>Disciplines</formula1>
    </dataValidation>
    <dataValidation type="list" allowBlank="1" showInputMessage="1" showErrorMessage="1" sqref="F60">
      <formula1>Drivetrains</formula1>
    </dataValidation>
    <dataValidation type="list" allowBlank="1" showInputMessage="1" showErrorMessage="1" sqref="G60">
      <formula1>TireTypes</formula1>
    </dataValidation>
    <dataValidation type="list" allowBlank="1" showInputMessage="1" showErrorMessage="1" sqref="B61">
      <formula1>Disciplines</formula1>
    </dataValidation>
    <dataValidation type="list" allowBlank="1" showInputMessage="1" showErrorMessage="1" sqref="F61">
      <formula1>Drivetrains</formula1>
    </dataValidation>
    <dataValidation type="list" allowBlank="1" showInputMessage="1" showErrorMessage="1" sqref="G61">
      <formula1>TireTypes</formula1>
    </dataValidation>
    <dataValidation type="list" allowBlank="1" showInputMessage="1" showErrorMessage="1" sqref="B62">
      <formula1>Disciplines</formula1>
    </dataValidation>
    <dataValidation type="list" allowBlank="1" showInputMessage="1" showErrorMessage="1" sqref="F62">
      <formula1>Drivetrains</formula1>
    </dataValidation>
    <dataValidation type="list" allowBlank="1" showInputMessage="1" showErrorMessage="1" sqref="G62">
      <formula1>TireTypes</formula1>
    </dataValidation>
    <dataValidation type="list" allowBlank="1" showInputMessage="1" showErrorMessage="1" sqref="B63">
      <formula1>Disciplines</formula1>
    </dataValidation>
    <dataValidation type="list" allowBlank="1" showInputMessage="1" showErrorMessage="1" sqref="F63">
      <formula1>Drivetrains</formula1>
    </dataValidation>
    <dataValidation type="list" allowBlank="1" showInputMessage="1" showErrorMessage="1" sqref="G63">
      <formula1>TireTypes</formula1>
    </dataValidation>
    <dataValidation type="list" allowBlank="1" showInputMessage="1" showErrorMessage="1" sqref="B64">
      <formula1>Disciplines</formula1>
    </dataValidation>
    <dataValidation type="list" allowBlank="1" showInputMessage="1" showErrorMessage="1" sqref="F64">
      <formula1>Drivetrains</formula1>
    </dataValidation>
    <dataValidation type="list" allowBlank="1" showInputMessage="1" showErrorMessage="1" sqref="G64">
      <formula1>TireTypes</formula1>
    </dataValidation>
    <dataValidation type="list" allowBlank="1" showInputMessage="1" showErrorMessage="1" sqref="B65">
      <formula1>Disciplines</formula1>
    </dataValidation>
    <dataValidation type="list" allowBlank="1" showInputMessage="1" showErrorMessage="1" sqref="F65">
      <formula1>Drivetrains</formula1>
    </dataValidation>
    <dataValidation type="list" allowBlank="1" showInputMessage="1" showErrorMessage="1" sqref="G65">
      <formula1>TireTypes</formula1>
    </dataValidation>
    <dataValidation type="list" allowBlank="1" showInputMessage="1" showErrorMessage="1" sqref="B66">
      <formula1>Disciplines</formula1>
    </dataValidation>
    <dataValidation type="list" allowBlank="1" showInputMessage="1" showErrorMessage="1" sqref="F66">
      <formula1>Drivetrains</formula1>
    </dataValidation>
    <dataValidation type="list" allowBlank="1" showInputMessage="1" showErrorMessage="1" sqref="G66">
      <formula1>TireTypes</formula1>
    </dataValidation>
    <dataValidation type="list" allowBlank="1" showInputMessage="1" showErrorMessage="1" sqref="B67">
      <formula1>Disciplines</formula1>
    </dataValidation>
    <dataValidation type="list" allowBlank="1" showInputMessage="1" showErrorMessage="1" sqref="F67">
      <formula1>Drivetrains</formula1>
    </dataValidation>
    <dataValidation type="list" allowBlank="1" showInputMessage="1" showErrorMessage="1" sqref="G67">
      <formula1>TireTypes</formula1>
    </dataValidation>
    <dataValidation type="list" allowBlank="1" showInputMessage="1" showErrorMessage="1" sqref="B68">
      <formula1>Disciplines</formula1>
    </dataValidation>
    <dataValidation type="list" allowBlank="1" showInputMessage="1" showErrorMessage="1" sqref="F68">
      <formula1>Drivetrains</formula1>
    </dataValidation>
    <dataValidation type="list" allowBlank="1" showInputMessage="1" showErrorMessage="1" sqref="G68">
      <formula1>TireTypes</formula1>
    </dataValidation>
    <dataValidation type="list" allowBlank="1" showInputMessage="1" showErrorMessage="1" sqref="B69">
      <formula1>Disciplines</formula1>
    </dataValidation>
    <dataValidation type="list" allowBlank="1" showInputMessage="1" showErrorMessage="1" sqref="F69">
      <formula1>Drivetrains</formula1>
    </dataValidation>
    <dataValidation type="list" allowBlank="1" showInputMessage="1" showErrorMessage="1" sqref="G69">
      <formula1>TireTypes</formula1>
    </dataValidation>
    <dataValidation type="list" allowBlank="1" showInputMessage="1" showErrorMessage="1" sqref="B70">
      <formula1>Disciplines</formula1>
    </dataValidation>
    <dataValidation type="list" allowBlank="1" showInputMessage="1" showErrorMessage="1" sqref="F70">
      <formula1>Drivetrains</formula1>
    </dataValidation>
    <dataValidation type="list" allowBlank="1" showInputMessage="1" showErrorMessage="1" sqref="G70">
      <formula1>TireTypes</formula1>
    </dataValidation>
    <dataValidation type="list" allowBlank="1" showInputMessage="1" showErrorMessage="1" sqref="B71">
      <formula1>Disciplines</formula1>
    </dataValidation>
    <dataValidation type="list" allowBlank="1" showInputMessage="1" showErrorMessage="1" sqref="F71">
      <formula1>Drivetrains</formula1>
    </dataValidation>
    <dataValidation type="list" allowBlank="1" showInputMessage="1" showErrorMessage="1" sqref="G71">
      <formula1>TireTypes</formula1>
    </dataValidation>
    <dataValidation type="list" allowBlank="1" showInputMessage="1" showErrorMessage="1" sqref="B72">
      <formula1>Disciplines</formula1>
    </dataValidation>
    <dataValidation type="list" allowBlank="1" showInputMessage="1" showErrorMessage="1" sqref="F72">
      <formula1>Drivetrains</formula1>
    </dataValidation>
    <dataValidation type="list" allowBlank="1" showInputMessage="1" showErrorMessage="1" sqref="G72">
      <formula1>TireTypes</formula1>
    </dataValidation>
    <dataValidation type="list" allowBlank="1" showInputMessage="1" showErrorMessage="1" sqref="B73">
      <formula1>Disciplines</formula1>
    </dataValidation>
    <dataValidation type="list" allowBlank="1" showInputMessage="1" showErrorMessage="1" sqref="F73">
      <formula1>Drivetrains</formula1>
    </dataValidation>
    <dataValidation type="list" allowBlank="1" showInputMessage="1" showErrorMessage="1" sqref="G73">
      <formula1>TireTypes</formula1>
    </dataValidation>
    <dataValidation type="list" allowBlank="1" showInputMessage="1" showErrorMessage="1" sqref="B74">
      <formula1>Disciplines</formula1>
    </dataValidation>
    <dataValidation type="list" allowBlank="1" showInputMessage="1" showErrorMessage="1" sqref="F74">
      <formula1>Drivetrains</formula1>
    </dataValidation>
    <dataValidation type="list" allowBlank="1" showInputMessage="1" showErrorMessage="1" sqref="G74">
      <formula1>TireTypes</formula1>
    </dataValidation>
    <dataValidation type="list" allowBlank="1" showInputMessage="1" showErrorMessage="1" sqref="B75">
      <formula1>Disciplines</formula1>
    </dataValidation>
    <dataValidation type="list" allowBlank="1" showInputMessage="1" showErrorMessage="1" sqref="F75">
      <formula1>Drivetrains</formula1>
    </dataValidation>
    <dataValidation type="list" allowBlank="1" showInputMessage="1" showErrorMessage="1" sqref="G75">
      <formula1>TireTypes</formula1>
    </dataValidation>
    <dataValidation type="list" allowBlank="1" showInputMessage="1" showErrorMessage="1" sqref="B76">
      <formula1>Disciplines</formula1>
    </dataValidation>
    <dataValidation type="list" allowBlank="1" showInputMessage="1" showErrorMessage="1" sqref="F76">
      <formula1>Drivetrains</formula1>
    </dataValidation>
    <dataValidation type="list" allowBlank="1" showInputMessage="1" showErrorMessage="1" sqref="G76">
      <formula1>TireTypes</formula1>
    </dataValidation>
    <dataValidation type="list" allowBlank="1" showInputMessage="1" showErrorMessage="1" sqref="B77">
      <formula1>Disciplines</formula1>
    </dataValidation>
    <dataValidation type="list" allowBlank="1" showInputMessage="1" showErrorMessage="1" sqref="F77">
      <formula1>Drivetrains</formula1>
    </dataValidation>
    <dataValidation type="list" allowBlank="1" showInputMessage="1" showErrorMessage="1" sqref="G77">
      <formula1>TireTypes</formula1>
    </dataValidation>
    <dataValidation type="list" allowBlank="1" showInputMessage="1" showErrorMessage="1" sqref="B78">
      <formula1>Disciplines</formula1>
    </dataValidation>
    <dataValidation type="list" allowBlank="1" showInputMessage="1" showErrorMessage="1" sqref="F78">
      <formula1>Drivetrains</formula1>
    </dataValidation>
    <dataValidation type="list" allowBlank="1" showInputMessage="1" showErrorMessage="1" sqref="G78">
      <formula1>TireTypes</formula1>
    </dataValidation>
    <dataValidation type="list" allowBlank="1" showInputMessage="1" showErrorMessage="1" sqref="B79">
      <formula1>Disciplines</formula1>
    </dataValidation>
    <dataValidation type="list" allowBlank="1" showInputMessage="1" showErrorMessage="1" sqref="F79">
      <formula1>Drivetrains</formula1>
    </dataValidation>
    <dataValidation type="list" allowBlank="1" showInputMessage="1" showErrorMessage="1" sqref="G79">
      <formula1>TireTypes</formula1>
    </dataValidation>
    <dataValidation type="list" allowBlank="1" showInputMessage="1" showErrorMessage="1" sqref="B80">
      <formula1>Disciplines</formula1>
    </dataValidation>
    <dataValidation type="list" allowBlank="1" showInputMessage="1" showErrorMessage="1" sqref="F80">
      <formula1>Drivetrains</formula1>
    </dataValidation>
    <dataValidation type="list" allowBlank="1" showInputMessage="1" showErrorMessage="1" sqref="G80">
      <formula1>TireTypes</formula1>
    </dataValidation>
    <dataValidation type="list" allowBlank="1" showInputMessage="1" showErrorMessage="1" sqref="B81">
      <formula1>Disciplines</formula1>
    </dataValidation>
    <dataValidation type="list" allowBlank="1" showInputMessage="1" showErrorMessage="1" sqref="F81">
      <formula1>Drivetrains</formula1>
    </dataValidation>
    <dataValidation type="list" allowBlank="1" showInputMessage="1" showErrorMessage="1" sqref="G81">
      <formula1>TireTypes</formula1>
    </dataValidation>
    <dataValidation type="list" allowBlank="1" showInputMessage="1" showErrorMessage="1" sqref="B82">
      <formula1>Disciplines</formula1>
    </dataValidation>
    <dataValidation type="list" allowBlank="1" showInputMessage="1" showErrorMessage="1" sqref="F82">
      <formula1>Drivetrains</formula1>
    </dataValidation>
    <dataValidation type="list" allowBlank="1" showInputMessage="1" showErrorMessage="1" sqref="G82">
      <formula1>TireTypes</formula1>
    </dataValidation>
    <dataValidation type="list" allowBlank="1" showInputMessage="1" showErrorMessage="1" sqref="B83">
      <formula1>Disciplines</formula1>
    </dataValidation>
    <dataValidation type="list" allowBlank="1" showInputMessage="1" showErrorMessage="1" sqref="F83">
      <formula1>Drivetrains</formula1>
    </dataValidation>
    <dataValidation type="list" allowBlank="1" showInputMessage="1" showErrorMessage="1" sqref="G83">
      <formula1>TireTypes</formula1>
    </dataValidation>
    <dataValidation type="list" allowBlank="1" showInputMessage="1" showErrorMessage="1" sqref="B84">
      <formula1>Disciplines</formula1>
    </dataValidation>
    <dataValidation type="list" allowBlank="1" showInputMessage="1" showErrorMessage="1" sqref="F84">
      <formula1>Drivetrains</formula1>
    </dataValidation>
    <dataValidation type="list" allowBlank="1" showInputMessage="1" showErrorMessage="1" sqref="G84">
      <formula1>TireTypes</formula1>
    </dataValidation>
    <dataValidation type="list" allowBlank="1" showInputMessage="1" showErrorMessage="1" sqref="B85">
      <formula1>Disciplines</formula1>
    </dataValidation>
    <dataValidation type="list" allowBlank="1" showInputMessage="1" showErrorMessage="1" sqref="F85">
      <formula1>Drivetrains</formula1>
    </dataValidation>
    <dataValidation type="list" allowBlank="1" showInputMessage="1" showErrorMessage="1" sqref="G85">
      <formula1>TireTypes</formula1>
    </dataValidation>
    <dataValidation type="list" allowBlank="1" showInputMessage="1" showErrorMessage="1" sqref="B86">
      <formula1>Disciplines</formula1>
    </dataValidation>
    <dataValidation type="list" allowBlank="1" showInputMessage="1" showErrorMessage="1" sqref="F86">
      <formula1>Drivetrains</formula1>
    </dataValidation>
    <dataValidation type="list" allowBlank="1" showInputMessage="1" showErrorMessage="1" sqref="G86">
      <formula1>TireTypes</formula1>
    </dataValidation>
    <dataValidation type="list" allowBlank="1" showInputMessage="1" showErrorMessage="1" sqref="B87">
      <formula1>Disciplines</formula1>
    </dataValidation>
    <dataValidation type="list" allowBlank="1" showInputMessage="1" showErrorMessage="1" sqref="F87">
      <formula1>Drivetrains</formula1>
    </dataValidation>
    <dataValidation type="list" allowBlank="1" showInputMessage="1" showErrorMessage="1" sqref="G87">
      <formula1>TireTypes</formula1>
    </dataValidation>
    <dataValidation type="list" allowBlank="1" showInputMessage="1" showErrorMessage="1" sqref="B88">
      <formula1>Disciplines</formula1>
    </dataValidation>
    <dataValidation type="list" allowBlank="1" showInputMessage="1" showErrorMessage="1" sqref="F88">
      <formula1>Drivetrains</formula1>
    </dataValidation>
    <dataValidation type="list" allowBlank="1" showInputMessage="1" showErrorMessage="1" sqref="G88">
      <formula1>TireTypes</formula1>
    </dataValidation>
    <dataValidation type="list" allowBlank="1" showInputMessage="1" showErrorMessage="1" sqref="B89">
      <formula1>Disciplines</formula1>
    </dataValidation>
    <dataValidation type="list" allowBlank="1" showInputMessage="1" showErrorMessage="1" sqref="F89">
      <formula1>Drivetrains</formula1>
    </dataValidation>
    <dataValidation type="list" allowBlank="1" showInputMessage="1" showErrorMessage="1" sqref="G89">
      <formula1>TireTypes</formula1>
    </dataValidation>
    <dataValidation type="list" allowBlank="1" showInputMessage="1" showErrorMessage="1" sqref="B90">
      <formula1>Disciplines</formula1>
    </dataValidation>
    <dataValidation type="list" allowBlank="1" showInputMessage="1" showErrorMessage="1" sqref="F90">
      <formula1>Drivetrains</formula1>
    </dataValidation>
    <dataValidation type="list" allowBlank="1" showInputMessage="1" showErrorMessage="1" sqref="G90">
      <formula1>TireTypes</formula1>
    </dataValidation>
    <dataValidation type="list" allowBlank="1" showInputMessage="1" showErrorMessage="1" sqref="B91">
      <formula1>Disciplines</formula1>
    </dataValidation>
    <dataValidation type="list" allowBlank="1" showInputMessage="1" showErrorMessage="1" sqref="F91">
      <formula1>Drivetrains</formula1>
    </dataValidation>
    <dataValidation type="list" allowBlank="1" showInputMessage="1" showErrorMessage="1" sqref="G91">
      <formula1>TireTypes</formula1>
    </dataValidation>
    <dataValidation type="list" allowBlank="1" showInputMessage="1" showErrorMessage="1" sqref="B92">
      <formula1>Disciplines</formula1>
    </dataValidation>
    <dataValidation type="list" allowBlank="1" showInputMessage="1" showErrorMessage="1" sqref="F92">
      <formula1>Drivetrains</formula1>
    </dataValidation>
    <dataValidation type="list" allowBlank="1" showInputMessage="1" showErrorMessage="1" sqref="G92">
      <formula1>TireTypes</formula1>
    </dataValidation>
    <dataValidation type="list" allowBlank="1" showInputMessage="1" showErrorMessage="1" sqref="B93">
      <formula1>Disciplines</formula1>
    </dataValidation>
    <dataValidation type="list" allowBlank="1" showInputMessage="1" showErrorMessage="1" sqref="F93">
      <formula1>Drivetrains</formula1>
    </dataValidation>
    <dataValidation type="list" allowBlank="1" showInputMessage="1" showErrorMessage="1" sqref="G93">
      <formula1>TireTypes</formula1>
    </dataValidation>
    <dataValidation type="list" allowBlank="1" showInputMessage="1" showErrorMessage="1" sqref="B94">
      <formula1>Disciplines</formula1>
    </dataValidation>
    <dataValidation type="list" allowBlank="1" showInputMessage="1" showErrorMessage="1" sqref="F94">
      <formula1>Drivetrains</formula1>
    </dataValidation>
    <dataValidation type="list" allowBlank="1" showInputMessage="1" showErrorMessage="1" sqref="G94">
      <formula1>TireTypes</formula1>
    </dataValidation>
    <dataValidation type="list" allowBlank="1" showInputMessage="1" showErrorMessage="1" sqref="B95">
      <formula1>Disciplines</formula1>
    </dataValidation>
    <dataValidation type="list" allowBlank="1" showInputMessage="1" showErrorMessage="1" sqref="F95">
      <formula1>Drivetrains</formula1>
    </dataValidation>
    <dataValidation type="list" allowBlank="1" showInputMessage="1" showErrorMessage="1" sqref="G95">
      <formula1>TireTypes</formula1>
    </dataValidation>
    <dataValidation type="list" allowBlank="1" showInputMessage="1" showErrorMessage="1" sqref="B96">
      <formula1>Disciplines</formula1>
    </dataValidation>
    <dataValidation type="list" allowBlank="1" showInputMessage="1" showErrorMessage="1" sqref="F96">
      <formula1>Drivetrains</formula1>
    </dataValidation>
    <dataValidation type="list" allowBlank="1" showInputMessage="1" showErrorMessage="1" sqref="G96">
      <formula1>TireTypes</formula1>
    </dataValidation>
    <dataValidation type="list" allowBlank="1" showInputMessage="1" showErrorMessage="1" sqref="B97">
      <formula1>Disciplines</formula1>
    </dataValidation>
    <dataValidation type="list" allowBlank="1" showInputMessage="1" showErrorMessage="1" sqref="F97">
      <formula1>Drivetrains</formula1>
    </dataValidation>
    <dataValidation type="list" allowBlank="1" showInputMessage="1" showErrorMessage="1" sqref="G97">
      <formula1>TireTypes</formula1>
    </dataValidation>
    <dataValidation type="list" allowBlank="1" showInputMessage="1" showErrorMessage="1" sqref="B98">
      <formula1>Disciplines</formula1>
    </dataValidation>
    <dataValidation type="list" allowBlank="1" showInputMessage="1" showErrorMessage="1" sqref="F98">
      <formula1>Drivetrains</formula1>
    </dataValidation>
    <dataValidation type="list" allowBlank="1" showInputMessage="1" showErrorMessage="1" sqref="G98">
      <formula1>TireTypes</formula1>
    </dataValidation>
    <dataValidation type="list" allowBlank="1" showInputMessage="1" showErrorMessage="1" sqref="B99">
      <formula1>Disciplines</formula1>
    </dataValidation>
    <dataValidation type="list" allowBlank="1" showInputMessage="1" showErrorMessage="1" sqref="F99">
      <formula1>Drivetrains</formula1>
    </dataValidation>
    <dataValidation type="list" allowBlank="1" showInputMessage="1" showErrorMessage="1" sqref="G99">
      <formula1>TireTypes</formula1>
    </dataValidation>
    <dataValidation type="list" allowBlank="1" showInputMessage="1" showErrorMessage="1" sqref="B100">
      <formula1>Disciplines</formula1>
    </dataValidation>
    <dataValidation type="list" allowBlank="1" showInputMessage="1" showErrorMessage="1" sqref="F100">
      <formula1>Drivetrains</formula1>
    </dataValidation>
    <dataValidation type="list" allowBlank="1" showInputMessage="1" showErrorMessage="1" sqref="G100">
      <formula1>TireTypes</formula1>
    </dataValidation>
    <dataValidation type="list" allowBlank="1" showInputMessage="1" showErrorMessage="1" sqref="B101">
      <formula1>Disciplines</formula1>
    </dataValidation>
    <dataValidation type="list" allowBlank="1" showInputMessage="1" showErrorMessage="1" sqref="F101">
      <formula1>Drivetrains</formula1>
    </dataValidation>
    <dataValidation type="list" allowBlank="1" showInputMessage="1" showErrorMessage="1" sqref="G101">
      <formula1>TireTypes</formula1>
    </dataValidation>
    <dataValidation type="list" allowBlank="1" showInputMessage="1" showErrorMessage="1" sqref="B102">
      <formula1>Disciplines</formula1>
    </dataValidation>
    <dataValidation type="list" allowBlank="1" showInputMessage="1" showErrorMessage="1" sqref="F102">
      <formula1>Drivetrains</formula1>
    </dataValidation>
    <dataValidation type="list" allowBlank="1" showInputMessage="1" showErrorMessage="1" sqref="G102">
      <formula1>TireTypes</formula1>
    </dataValidation>
    <dataValidation type="list" allowBlank="1" showInputMessage="1" showErrorMessage="1" sqref="B103">
      <formula1>Disciplines</formula1>
    </dataValidation>
    <dataValidation type="list" allowBlank="1" showInputMessage="1" showErrorMessage="1" sqref="F103">
      <formula1>Drivetrains</formula1>
    </dataValidation>
    <dataValidation type="list" allowBlank="1" showInputMessage="1" showErrorMessage="1" sqref="G103">
      <formula1>TireTypes</formula1>
    </dataValidation>
    <dataValidation type="list" allowBlank="1" showInputMessage="1" showErrorMessage="1" sqref="B104">
      <formula1>Disciplines</formula1>
    </dataValidation>
    <dataValidation type="list" allowBlank="1" showInputMessage="1" showErrorMessage="1" sqref="F104">
      <formula1>Drivetrains</formula1>
    </dataValidation>
    <dataValidation type="list" allowBlank="1" showInputMessage="1" showErrorMessage="1" sqref="G104">
      <formula1>TireTypes</formula1>
    </dataValidation>
    <dataValidation type="list" allowBlank="1" showInputMessage="1" showErrorMessage="1" sqref="B105">
      <formula1>Disciplines</formula1>
    </dataValidation>
    <dataValidation type="list" allowBlank="1" showInputMessage="1" showErrorMessage="1" sqref="F105">
      <formula1>Drivetrains</formula1>
    </dataValidation>
    <dataValidation type="list" allowBlank="1" showInputMessage="1" showErrorMessage="1" sqref="G105">
      <formula1>TireTypes</formula1>
    </dataValidation>
    <dataValidation type="list" allowBlank="1" showInputMessage="1" showErrorMessage="1" sqref="B106">
      <formula1>Disciplines</formula1>
    </dataValidation>
    <dataValidation type="list" allowBlank="1" showInputMessage="1" showErrorMessage="1" sqref="F106">
      <formula1>Drivetrains</formula1>
    </dataValidation>
    <dataValidation type="list" allowBlank="1" showInputMessage="1" showErrorMessage="1" sqref="G106">
      <formula1>TireTypes</formula1>
    </dataValidation>
    <dataValidation type="list" allowBlank="1" showInputMessage="1" showErrorMessage="1" sqref="B107">
      <formula1>Disciplines</formula1>
    </dataValidation>
    <dataValidation type="list" allowBlank="1" showInputMessage="1" showErrorMessage="1" sqref="F107">
      <formula1>Drivetrains</formula1>
    </dataValidation>
    <dataValidation type="list" allowBlank="1" showInputMessage="1" showErrorMessage="1" sqref="G107">
      <formula1>TireTypes</formula1>
    </dataValidation>
    <dataValidation type="list" allowBlank="1" showInputMessage="1" showErrorMessage="1" sqref="B108">
      <formula1>Disciplines</formula1>
    </dataValidation>
    <dataValidation type="list" allowBlank="1" showInputMessage="1" showErrorMessage="1" sqref="F108">
      <formula1>Drivetrains</formula1>
    </dataValidation>
    <dataValidation type="list" allowBlank="1" showInputMessage="1" showErrorMessage="1" sqref="G108">
      <formula1>TireTypes</formula1>
    </dataValidation>
    <dataValidation type="list" allowBlank="1" showInputMessage="1" showErrorMessage="1" sqref="B109">
      <formula1>Disciplines</formula1>
    </dataValidation>
    <dataValidation type="list" allowBlank="1" showInputMessage="1" showErrorMessage="1" sqref="F109">
      <formula1>Drivetrains</formula1>
    </dataValidation>
    <dataValidation type="list" allowBlank="1" showInputMessage="1" showErrorMessage="1" sqref="G109">
      <formula1>TireTypes</formula1>
    </dataValidation>
    <dataValidation type="list" allowBlank="1" showInputMessage="1" showErrorMessage="1" sqref="B110">
      <formula1>Disciplines</formula1>
    </dataValidation>
    <dataValidation type="list" allowBlank="1" showInputMessage="1" showErrorMessage="1" sqref="F110">
      <formula1>Drivetrains</formula1>
    </dataValidation>
    <dataValidation type="list" allowBlank="1" showInputMessage="1" showErrorMessage="1" sqref="G110">
      <formula1>TireTypes</formula1>
    </dataValidation>
    <dataValidation type="list" allowBlank="1" showInputMessage="1" showErrorMessage="1" sqref="B111">
      <formula1>Disciplines</formula1>
    </dataValidation>
    <dataValidation type="list" allowBlank="1" showInputMessage="1" showErrorMessage="1" sqref="F111">
      <formula1>Drivetrains</formula1>
    </dataValidation>
    <dataValidation type="list" allowBlank="1" showInputMessage="1" showErrorMessage="1" sqref="G111">
      <formula1>TireTypes</formula1>
    </dataValidation>
    <dataValidation type="list" allowBlank="1" showInputMessage="1" showErrorMessage="1" sqref="B112">
      <formula1>Disciplines</formula1>
    </dataValidation>
    <dataValidation type="list" allowBlank="1" showInputMessage="1" showErrorMessage="1" sqref="F112">
      <formula1>Drivetrains</formula1>
    </dataValidation>
    <dataValidation type="list" allowBlank="1" showInputMessage="1" showErrorMessage="1" sqref="G112">
      <formula1>TireTypes</formula1>
    </dataValidation>
    <dataValidation type="list" allowBlank="1" showInputMessage="1" showErrorMessage="1" sqref="B113">
      <formula1>Disciplines</formula1>
    </dataValidation>
    <dataValidation type="list" allowBlank="1" showInputMessage="1" showErrorMessage="1" sqref="F113">
      <formula1>Drivetrains</formula1>
    </dataValidation>
    <dataValidation type="list" allowBlank="1" showInputMessage="1" showErrorMessage="1" sqref="G113">
      <formula1>TireTypes</formula1>
    </dataValidation>
    <dataValidation type="list" allowBlank="1" showInputMessage="1" showErrorMessage="1" sqref="B114">
      <formula1>Disciplines</formula1>
    </dataValidation>
    <dataValidation type="list" allowBlank="1" showInputMessage="1" showErrorMessage="1" sqref="F114">
      <formula1>Drivetrains</formula1>
    </dataValidation>
    <dataValidation type="list" allowBlank="1" showInputMessage="1" showErrorMessage="1" sqref="G114">
      <formula1>TireTypes</formula1>
    </dataValidation>
    <dataValidation type="list" allowBlank="1" showInputMessage="1" showErrorMessage="1" sqref="B115">
      <formula1>Disciplines</formula1>
    </dataValidation>
    <dataValidation type="list" allowBlank="1" showInputMessage="1" showErrorMessage="1" sqref="F115">
      <formula1>Drivetrains</formula1>
    </dataValidation>
    <dataValidation type="list" allowBlank="1" showInputMessage="1" showErrorMessage="1" sqref="G115">
      <formula1>TireTypes</formula1>
    </dataValidation>
    <dataValidation type="list" allowBlank="1" showInputMessage="1" showErrorMessage="1" sqref="B116">
      <formula1>Disciplines</formula1>
    </dataValidation>
    <dataValidation type="list" allowBlank="1" showInputMessage="1" showErrorMessage="1" sqref="F116">
      <formula1>Drivetrains</formula1>
    </dataValidation>
    <dataValidation type="list" allowBlank="1" showInputMessage="1" showErrorMessage="1" sqref="G116">
      <formula1>TireTypes</formula1>
    </dataValidation>
    <dataValidation type="list" allowBlank="1" showInputMessage="1" showErrorMessage="1" sqref="B117">
      <formula1>Disciplines</formula1>
    </dataValidation>
    <dataValidation type="list" allowBlank="1" showInputMessage="1" showErrorMessage="1" sqref="F117">
      <formula1>Drivetrains</formula1>
    </dataValidation>
    <dataValidation type="list" allowBlank="1" showInputMessage="1" showErrorMessage="1" sqref="G117">
      <formula1>TireTypes</formula1>
    </dataValidation>
    <dataValidation type="list" allowBlank="1" showInputMessage="1" showErrorMessage="1" sqref="B118">
      <formula1>Disciplines</formula1>
    </dataValidation>
    <dataValidation type="list" allowBlank="1" showInputMessage="1" showErrorMessage="1" sqref="F118">
      <formula1>Drivetrains</formula1>
    </dataValidation>
    <dataValidation type="list" allowBlank="1" showInputMessage="1" showErrorMessage="1" sqref="G118">
      <formula1>TireTypes</formula1>
    </dataValidation>
    <dataValidation type="list" allowBlank="1" showInputMessage="1" showErrorMessage="1" sqref="B119">
      <formula1>Disciplines</formula1>
    </dataValidation>
    <dataValidation type="list" allowBlank="1" showInputMessage="1" showErrorMessage="1" sqref="F119">
      <formula1>Drivetrains</formula1>
    </dataValidation>
    <dataValidation type="list" allowBlank="1" showInputMessage="1" showErrorMessage="1" sqref="G119">
      <formula1>TireTypes</formula1>
    </dataValidation>
    <dataValidation type="list" allowBlank="1" showInputMessage="1" showErrorMessage="1" sqref="B120">
      <formula1>Disciplines</formula1>
    </dataValidation>
    <dataValidation type="list" allowBlank="1" showInputMessage="1" showErrorMessage="1" sqref="F120">
      <formula1>Drivetrains</formula1>
    </dataValidation>
    <dataValidation type="list" allowBlank="1" showInputMessage="1" showErrorMessage="1" sqref="G120">
      <formula1>TireTypes</formula1>
    </dataValidation>
    <dataValidation type="list" allowBlank="1" showInputMessage="1" showErrorMessage="1" sqref="B121">
      <formula1>Disciplines</formula1>
    </dataValidation>
    <dataValidation type="list" allowBlank="1" showInputMessage="1" showErrorMessage="1" sqref="F121">
      <formula1>Drivetrains</formula1>
    </dataValidation>
    <dataValidation type="list" allowBlank="1" showInputMessage="1" showErrorMessage="1" sqref="G121">
      <formula1>TireTypes</formula1>
    </dataValidation>
    <dataValidation type="list" allowBlank="1" showInputMessage="1" showErrorMessage="1" sqref="B122">
      <formula1>Disciplines</formula1>
    </dataValidation>
    <dataValidation type="list" allowBlank="1" showInputMessage="1" showErrorMessage="1" sqref="F122">
      <formula1>Drivetrains</formula1>
    </dataValidation>
    <dataValidation type="list" allowBlank="1" showInputMessage="1" showErrorMessage="1" sqref="G122">
      <formula1>TireTypes</formula1>
    </dataValidation>
    <dataValidation type="list" allowBlank="1" showInputMessage="1" showErrorMessage="1" sqref="B123">
      <formula1>Disciplines</formula1>
    </dataValidation>
    <dataValidation type="list" allowBlank="1" showInputMessage="1" showErrorMessage="1" sqref="F123">
      <formula1>Drivetrains</formula1>
    </dataValidation>
    <dataValidation type="list" allowBlank="1" showInputMessage="1" showErrorMessage="1" sqref="G123">
      <formula1>TireTypes</formula1>
    </dataValidation>
    <dataValidation type="list" allowBlank="1" showInputMessage="1" showErrorMessage="1" sqref="B124">
      <formula1>Disciplines</formula1>
    </dataValidation>
    <dataValidation type="list" allowBlank="1" showInputMessage="1" showErrorMessage="1" sqref="F124">
      <formula1>Drivetrains</formula1>
    </dataValidation>
    <dataValidation type="list" allowBlank="1" showInputMessage="1" showErrorMessage="1" sqref="G124">
      <formula1>TireTypes</formula1>
    </dataValidation>
    <dataValidation type="list" allowBlank="1" showInputMessage="1" showErrorMessage="1" sqref="B125">
      <formula1>Disciplines</formula1>
    </dataValidation>
    <dataValidation type="list" allowBlank="1" showInputMessage="1" showErrorMessage="1" sqref="F125">
      <formula1>Drivetrains</formula1>
    </dataValidation>
    <dataValidation type="list" allowBlank="1" showInputMessage="1" showErrorMessage="1" sqref="G125">
      <formula1>TireTypes</formula1>
    </dataValidation>
    <dataValidation type="list" allowBlank="1" showInputMessage="1" showErrorMessage="1" sqref="B126">
      <formula1>Disciplines</formula1>
    </dataValidation>
    <dataValidation type="list" allowBlank="1" showInputMessage="1" showErrorMessage="1" sqref="F126">
      <formula1>Drivetrains</formula1>
    </dataValidation>
    <dataValidation type="list" allowBlank="1" showInputMessage="1" showErrorMessage="1" sqref="G126">
      <formula1>TireTypes</formula1>
    </dataValidation>
    <dataValidation type="list" allowBlank="1" showInputMessage="1" showErrorMessage="1" sqref="B127">
      <formula1>Disciplines</formula1>
    </dataValidation>
    <dataValidation type="list" allowBlank="1" showInputMessage="1" showErrorMessage="1" sqref="F127">
      <formula1>Drivetrains</formula1>
    </dataValidation>
    <dataValidation type="list" allowBlank="1" showInputMessage="1" showErrorMessage="1" sqref="G127">
      <formula1>TireTypes</formula1>
    </dataValidation>
    <dataValidation type="list" allowBlank="1" showInputMessage="1" showErrorMessage="1" sqref="B128">
      <formula1>Disciplines</formula1>
    </dataValidation>
    <dataValidation type="list" allowBlank="1" showInputMessage="1" showErrorMessage="1" sqref="F128">
      <formula1>Drivetrains</formula1>
    </dataValidation>
    <dataValidation type="list" allowBlank="1" showInputMessage="1" showErrorMessage="1" sqref="G128">
      <formula1>TireTypes</formula1>
    </dataValidation>
    <dataValidation type="list" allowBlank="1" showInputMessage="1" showErrorMessage="1" sqref="B129">
      <formula1>Disciplines</formula1>
    </dataValidation>
    <dataValidation type="list" allowBlank="1" showInputMessage="1" showErrorMessage="1" sqref="F129">
      <formula1>Drivetrains</formula1>
    </dataValidation>
    <dataValidation type="list" allowBlank="1" showInputMessage="1" showErrorMessage="1" sqref="G129">
      <formula1>TireTypes</formula1>
    </dataValidation>
    <dataValidation type="list" allowBlank="1" showInputMessage="1" showErrorMessage="1" sqref="B130">
      <formula1>Disciplines</formula1>
    </dataValidation>
    <dataValidation type="list" allowBlank="1" showInputMessage="1" showErrorMessage="1" sqref="F130">
      <formula1>Drivetrains</formula1>
    </dataValidation>
    <dataValidation type="list" allowBlank="1" showInputMessage="1" showErrorMessage="1" sqref="G130">
      <formula1>TireTypes</formula1>
    </dataValidation>
    <dataValidation type="list" allowBlank="1" showInputMessage="1" showErrorMessage="1" sqref="B131">
      <formula1>Disciplines</formula1>
    </dataValidation>
    <dataValidation type="list" allowBlank="1" showInputMessage="1" showErrorMessage="1" sqref="F131">
      <formula1>Drivetrains</formula1>
    </dataValidation>
    <dataValidation type="list" allowBlank="1" showInputMessage="1" showErrorMessage="1" sqref="G131">
      <formula1>TireTypes</formula1>
    </dataValidation>
    <dataValidation type="list" allowBlank="1" showInputMessage="1" showErrorMessage="1" sqref="B132">
      <formula1>Disciplines</formula1>
    </dataValidation>
    <dataValidation type="list" allowBlank="1" showInputMessage="1" showErrorMessage="1" sqref="F132">
      <formula1>Drivetrains</formula1>
    </dataValidation>
    <dataValidation type="list" allowBlank="1" showInputMessage="1" showErrorMessage="1" sqref="G132">
      <formula1>TireTypes</formula1>
    </dataValidation>
    <dataValidation type="list" allowBlank="1" showInputMessage="1" showErrorMessage="1" sqref="B133">
      <formula1>Disciplines</formula1>
    </dataValidation>
    <dataValidation type="list" allowBlank="1" showInputMessage="1" showErrorMessage="1" sqref="F133">
      <formula1>Drivetrains</formula1>
    </dataValidation>
    <dataValidation type="list" allowBlank="1" showInputMessage="1" showErrorMessage="1" sqref="G133">
      <formula1>TireTypes</formula1>
    </dataValidation>
    <dataValidation type="list" allowBlank="1" showInputMessage="1" showErrorMessage="1" sqref="B134">
      <formula1>Disciplines</formula1>
    </dataValidation>
    <dataValidation type="list" allowBlank="1" showInputMessage="1" showErrorMessage="1" sqref="F134">
      <formula1>Drivetrains</formula1>
    </dataValidation>
    <dataValidation type="list" allowBlank="1" showInputMessage="1" showErrorMessage="1" sqref="G134">
      <formula1>TireTypes</formula1>
    </dataValidation>
    <dataValidation type="list" allowBlank="1" showInputMessage="1" showErrorMessage="1" sqref="B135">
      <formula1>Disciplines</formula1>
    </dataValidation>
    <dataValidation type="list" allowBlank="1" showInputMessage="1" showErrorMessage="1" sqref="F135">
      <formula1>Drivetrains</formula1>
    </dataValidation>
    <dataValidation type="list" allowBlank="1" showInputMessage="1" showErrorMessage="1" sqref="G135">
      <formula1>TireTypes</formula1>
    </dataValidation>
    <dataValidation type="list" allowBlank="1" showInputMessage="1" showErrorMessage="1" sqref="B136">
      <formula1>Disciplines</formula1>
    </dataValidation>
    <dataValidation type="list" allowBlank="1" showInputMessage="1" showErrorMessage="1" sqref="F136">
      <formula1>Drivetrains</formula1>
    </dataValidation>
    <dataValidation type="list" allowBlank="1" showInputMessage="1" showErrorMessage="1" sqref="G136">
      <formula1>TireTypes</formula1>
    </dataValidation>
    <dataValidation type="list" allowBlank="1" showInputMessage="1" showErrorMessage="1" sqref="B137">
      <formula1>Disciplines</formula1>
    </dataValidation>
    <dataValidation type="list" allowBlank="1" showInputMessage="1" showErrorMessage="1" sqref="F137">
      <formula1>Drivetrains</formula1>
    </dataValidation>
    <dataValidation type="list" allowBlank="1" showInputMessage="1" showErrorMessage="1" sqref="G137">
      <formula1>TireTypes</formula1>
    </dataValidation>
    <dataValidation type="list" allowBlank="1" showInputMessage="1" showErrorMessage="1" sqref="B138">
      <formula1>Disciplines</formula1>
    </dataValidation>
    <dataValidation type="list" allowBlank="1" showInputMessage="1" showErrorMessage="1" sqref="F138">
      <formula1>Drivetrains</formula1>
    </dataValidation>
    <dataValidation type="list" allowBlank="1" showInputMessage="1" showErrorMessage="1" sqref="G138">
      <formula1>TireTypes</formula1>
    </dataValidation>
    <dataValidation type="list" allowBlank="1" showInputMessage="1" showErrorMessage="1" sqref="B139">
      <formula1>Disciplines</formula1>
    </dataValidation>
    <dataValidation type="list" allowBlank="1" showInputMessage="1" showErrorMessage="1" sqref="F139">
      <formula1>Drivetrains</formula1>
    </dataValidation>
    <dataValidation type="list" allowBlank="1" showInputMessage="1" showErrorMessage="1" sqref="G139">
      <formula1>TireTypes</formula1>
    </dataValidation>
    <dataValidation type="list" allowBlank="1" showInputMessage="1" showErrorMessage="1" sqref="B140">
      <formula1>Disciplines</formula1>
    </dataValidation>
    <dataValidation type="list" allowBlank="1" showInputMessage="1" showErrorMessage="1" sqref="F140">
      <formula1>Drivetrains</formula1>
    </dataValidation>
    <dataValidation type="list" allowBlank="1" showInputMessage="1" showErrorMessage="1" sqref="G140">
      <formula1>TireTypes</formula1>
    </dataValidation>
    <dataValidation type="list" allowBlank="1" showInputMessage="1" showErrorMessage="1" sqref="B141">
      <formula1>Disciplines</formula1>
    </dataValidation>
    <dataValidation type="list" allowBlank="1" showInputMessage="1" showErrorMessage="1" sqref="F141">
      <formula1>Drivetrains</formula1>
    </dataValidation>
    <dataValidation type="list" allowBlank="1" showInputMessage="1" showErrorMessage="1" sqref="G141">
      <formula1>TireTypes</formula1>
    </dataValidation>
    <dataValidation type="list" allowBlank="1" showInputMessage="1" showErrorMessage="1" sqref="B142">
      <formula1>Disciplines</formula1>
    </dataValidation>
    <dataValidation type="list" allowBlank="1" showInputMessage="1" showErrorMessage="1" sqref="F142">
      <formula1>Drivetrains</formula1>
    </dataValidation>
    <dataValidation type="list" allowBlank="1" showInputMessage="1" showErrorMessage="1" sqref="G142">
      <formula1>TireTypes</formula1>
    </dataValidation>
    <dataValidation type="list" allowBlank="1" showInputMessage="1" showErrorMessage="1" sqref="B143">
      <formula1>Disciplines</formula1>
    </dataValidation>
    <dataValidation type="list" allowBlank="1" showInputMessage="1" showErrorMessage="1" sqref="F143">
      <formula1>Drivetrains</formula1>
    </dataValidation>
    <dataValidation type="list" allowBlank="1" showInputMessage="1" showErrorMessage="1" sqref="G143">
      <formula1>TireTypes</formula1>
    </dataValidation>
    <dataValidation type="list" allowBlank="1" showInputMessage="1" showErrorMessage="1" sqref="B144">
      <formula1>Disciplines</formula1>
    </dataValidation>
    <dataValidation type="list" allowBlank="1" showInputMessage="1" showErrorMessage="1" sqref="F144">
      <formula1>Drivetrains</formula1>
    </dataValidation>
    <dataValidation type="list" allowBlank="1" showInputMessage="1" showErrorMessage="1" sqref="G144">
      <formula1>TireTypes</formula1>
    </dataValidation>
    <dataValidation type="list" allowBlank="1" showInputMessage="1" showErrorMessage="1" sqref="B145">
      <formula1>Disciplines</formula1>
    </dataValidation>
    <dataValidation type="list" allowBlank="1" showInputMessage="1" showErrorMessage="1" sqref="F145">
      <formula1>Drivetrains</formula1>
    </dataValidation>
    <dataValidation type="list" allowBlank="1" showInputMessage="1" showErrorMessage="1" sqref="G145">
      <formula1>TireTypes</formula1>
    </dataValidation>
    <dataValidation type="list" allowBlank="1" showInputMessage="1" showErrorMessage="1" sqref="B146">
      <formula1>Disciplines</formula1>
    </dataValidation>
    <dataValidation type="list" allowBlank="1" showInputMessage="1" showErrorMessage="1" sqref="F146">
      <formula1>Drivetrains</formula1>
    </dataValidation>
    <dataValidation type="list" allowBlank="1" showInputMessage="1" showErrorMessage="1" sqref="G146">
      <formula1>TireTypes</formula1>
    </dataValidation>
    <dataValidation type="list" allowBlank="1" showInputMessage="1" showErrorMessage="1" sqref="B147">
      <formula1>Disciplines</formula1>
    </dataValidation>
    <dataValidation type="list" allowBlank="1" showInputMessage="1" showErrorMessage="1" sqref="F147">
      <formula1>Drivetrains</formula1>
    </dataValidation>
    <dataValidation type="list" allowBlank="1" showInputMessage="1" showErrorMessage="1" sqref="G147">
      <formula1>TireTypes</formula1>
    </dataValidation>
    <dataValidation type="list" allowBlank="1" showInputMessage="1" showErrorMessage="1" sqref="B148">
      <formula1>Disciplines</formula1>
    </dataValidation>
    <dataValidation type="list" allowBlank="1" showInputMessage="1" showErrorMessage="1" sqref="F148">
      <formula1>Drivetrains</formula1>
    </dataValidation>
    <dataValidation type="list" allowBlank="1" showInputMessage="1" showErrorMessage="1" sqref="G148">
      <formula1>TireTypes</formula1>
    </dataValidation>
    <dataValidation type="list" allowBlank="1" showInputMessage="1" showErrorMessage="1" sqref="B149">
      <formula1>Disciplines</formula1>
    </dataValidation>
    <dataValidation type="list" allowBlank="1" showInputMessage="1" showErrorMessage="1" sqref="F149">
      <formula1>Drivetrains</formula1>
    </dataValidation>
    <dataValidation type="list" allowBlank="1" showInputMessage="1" showErrorMessage="1" sqref="G149">
      <formula1>TireTypes</formula1>
    </dataValidation>
    <dataValidation type="list" allowBlank="1" showInputMessage="1" showErrorMessage="1" sqref="B150">
      <formula1>Disciplines</formula1>
    </dataValidation>
    <dataValidation type="list" allowBlank="1" showInputMessage="1" showErrorMessage="1" sqref="F150">
      <formula1>Drivetrains</formula1>
    </dataValidation>
    <dataValidation type="list" allowBlank="1" showInputMessage="1" showErrorMessage="1" sqref="G150">
      <formula1>TireTypes</formula1>
    </dataValidation>
    <dataValidation type="list" allowBlank="1" showInputMessage="1" showErrorMessage="1" sqref="B151">
      <formula1>Disciplines</formula1>
    </dataValidation>
    <dataValidation type="list" allowBlank="1" showInputMessage="1" showErrorMessage="1" sqref="F151">
      <formula1>Drivetrains</formula1>
    </dataValidation>
    <dataValidation type="list" allowBlank="1" showInputMessage="1" showErrorMessage="1" sqref="G151">
      <formula1>TireTypes</formula1>
    </dataValidation>
    <dataValidation type="list" allowBlank="1" showInputMessage="1" showErrorMessage="1" sqref="B152">
      <formula1>Disciplines</formula1>
    </dataValidation>
    <dataValidation type="list" allowBlank="1" showInputMessage="1" showErrorMessage="1" sqref="F152">
      <formula1>Drivetrains</formula1>
    </dataValidation>
    <dataValidation type="list" allowBlank="1" showInputMessage="1" showErrorMessage="1" sqref="G152">
      <formula1>TireTypes</formula1>
    </dataValidation>
    <dataValidation type="list" allowBlank="1" showInputMessage="1" showErrorMessage="1" sqref="B153">
      <formula1>Disciplines</formula1>
    </dataValidation>
    <dataValidation type="list" allowBlank="1" showInputMessage="1" showErrorMessage="1" sqref="F153">
      <formula1>Drivetrains</formula1>
    </dataValidation>
    <dataValidation type="list" allowBlank="1" showInputMessage="1" showErrorMessage="1" sqref="G153">
      <formula1>TireTypes</formula1>
    </dataValidation>
    <dataValidation type="list" allowBlank="1" showInputMessage="1" showErrorMessage="1" sqref="B154">
      <formula1>Disciplines</formula1>
    </dataValidation>
    <dataValidation type="list" allowBlank="1" showInputMessage="1" showErrorMessage="1" sqref="F154">
      <formula1>Drivetrains</formula1>
    </dataValidation>
    <dataValidation type="list" allowBlank="1" showInputMessage="1" showErrorMessage="1" sqref="G154">
      <formula1>TireTypes</formula1>
    </dataValidation>
    <dataValidation type="list" allowBlank="1" showInputMessage="1" showErrorMessage="1" sqref="B155">
      <formula1>Disciplines</formula1>
    </dataValidation>
    <dataValidation type="list" allowBlank="1" showInputMessage="1" showErrorMessage="1" sqref="F155">
      <formula1>Drivetrains</formula1>
    </dataValidation>
    <dataValidation type="list" allowBlank="1" showInputMessage="1" showErrorMessage="1" sqref="G155">
      <formula1>TireTypes</formula1>
    </dataValidation>
    <dataValidation type="list" allowBlank="1" showInputMessage="1" showErrorMessage="1" sqref="B156">
      <formula1>Disciplines</formula1>
    </dataValidation>
    <dataValidation type="list" allowBlank="1" showInputMessage="1" showErrorMessage="1" sqref="F156">
      <formula1>Drivetrains</formula1>
    </dataValidation>
    <dataValidation type="list" allowBlank="1" showInputMessage="1" showErrorMessage="1" sqref="G156">
      <formula1>TireTypes</formula1>
    </dataValidation>
    <dataValidation type="list" allowBlank="1" showInputMessage="1" showErrorMessage="1" sqref="B157">
      <formula1>Disciplines</formula1>
    </dataValidation>
    <dataValidation type="list" allowBlank="1" showInputMessage="1" showErrorMessage="1" sqref="F157">
      <formula1>Drivetrains</formula1>
    </dataValidation>
    <dataValidation type="list" allowBlank="1" showInputMessage="1" showErrorMessage="1" sqref="G157">
      <formula1>TireTypes</formula1>
    </dataValidation>
    <dataValidation type="list" allowBlank="1" showInputMessage="1" showErrorMessage="1" sqref="B158">
      <formula1>Disciplines</formula1>
    </dataValidation>
    <dataValidation type="list" allowBlank="1" showInputMessage="1" showErrorMessage="1" sqref="F158">
      <formula1>Drivetrains</formula1>
    </dataValidation>
    <dataValidation type="list" allowBlank="1" showInputMessage="1" showErrorMessage="1" sqref="G158">
      <formula1>TireTypes</formula1>
    </dataValidation>
    <dataValidation type="list" allowBlank="1" showInputMessage="1" showErrorMessage="1" sqref="B159">
      <formula1>Disciplines</formula1>
    </dataValidation>
    <dataValidation type="list" allowBlank="1" showInputMessage="1" showErrorMessage="1" sqref="F159">
      <formula1>Drivetrains</formula1>
    </dataValidation>
    <dataValidation type="list" allowBlank="1" showInputMessage="1" showErrorMessage="1" sqref="G159">
      <formula1>TireTypes</formula1>
    </dataValidation>
    <dataValidation type="list" allowBlank="1" showInputMessage="1" showErrorMessage="1" sqref="B160">
      <formula1>Disciplines</formula1>
    </dataValidation>
    <dataValidation type="list" allowBlank="1" showInputMessage="1" showErrorMessage="1" sqref="F160">
      <formula1>Drivetrains</formula1>
    </dataValidation>
    <dataValidation type="list" allowBlank="1" showInputMessage="1" showErrorMessage="1" sqref="G160">
      <formula1>TireTypes</formula1>
    </dataValidation>
    <dataValidation type="list" allowBlank="1" showInputMessage="1" showErrorMessage="1" sqref="B161">
      <formula1>Disciplines</formula1>
    </dataValidation>
    <dataValidation type="list" allowBlank="1" showInputMessage="1" showErrorMessage="1" sqref="F161">
      <formula1>Drivetrains</formula1>
    </dataValidation>
    <dataValidation type="list" allowBlank="1" showInputMessage="1" showErrorMessage="1" sqref="G161">
      <formula1>TireTypes</formula1>
    </dataValidation>
    <dataValidation type="list" allowBlank="1" showInputMessage="1" showErrorMessage="1" sqref="B162">
      <formula1>Disciplines</formula1>
    </dataValidation>
    <dataValidation type="list" allowBlank="1" showInputMessage="1" showErrorMessage="1" sqref="F162">
      <formula1>Drivetrains</formula1>
    </dataValidation>
    <dataValidation type="list" allowBlank="1" showInputMessage="1" showErrorMessage="1" sqref="G162">
      <formula1>TireTypes</formula1>
    </dataValidation>
    <dataValidation type="list" allowBlank="1" showInputMessage="1" showErrorMessage="1" sqref="B163">
      <formula1>Disciplines</formula1>
    </dataValidation>
    <dataValidation type="list" allowBlank="1" showInputMessage="1" showErrorMessage="1" sqref="F163">
      <formula1>Drivetrains</formula1>
    </dataValidation>
    <dataValidation type="list" allowBlank="1" showInputMessage="1" showErrorMessage="1" sqref="G163">
      <formula1>TireTypes</formula1>
    </dataValidation>
    <dataValidation type="list" allowBlank="1" showInputMessage="1" showErrorMessage="1" sqref="B164">
      <formula1>Disciplines</formula1>
    </dataValidation>
    <dataValidation type="list" allowBlank="1" showInputMessage="1" showErrorMessage="1" sqref="F164">
      <formula1>Drivetrains</formula1>
    </dataValidation>
    <dataValidation type="list" allowBlank="1" showInputMessage="1" showErrorMessage="1" sqref="G164">
      <formula1>TireTypes</formula1>
    </dataValidation>
    <dataValidation type="list" allowBlank="1" showInputMessage="1" showErrorMessage="1" sqref="B165">
      <formula1>Disciplines</formula1>
    </dataValidation>
    <dataValidation type="list" allowBlank="1" showInputMessage="1" showErrorMessage="1" sqref="F165">
      <formula1>Drivetrains</formula1>
    </dataValidation>
    <dataValidation type="list" allowBlank="1" showInputMessage="1" showErrorMessage="1" sqref="G165">
      <formula1>TireTypes</formula1>
    </dataValidation>
    <dataValidation type="list" allowBlank="1" showInputMessage="1" showErrorMessage="1" sqref="B166">
      <formula1>Disciplines</formula1>
    </dataValidation>
    <dataValidation type="list" allowBlank="1" showInputMessage="1" showErrorMessage="1" sqref="F166">
      <formula1>Drivetrains</formula1>
    </dataValidation>
    <dataValidation type="list" allowBlank="1" showInputMessage="1" showErrorMessage="1" sqref="G166">
      <formula1>TireTypes</formula1>
    </dataValidation>
    <dataValidation type="list" allowBlank="1" showInputMessage="1" showErrorMessage="1" sqref="B167">
      <formula1>Disciplines</formula1>
    </dataValidation>
    <dataValidation type="list" allowBlank="1" showInputMessage="1" showErrorMessage="1" sqref="F167">
      <formula1>Drivetrains</formula1>
    </dataValidation>
    <dataValidation type="list" allowBlank="1" showInputMessage="1" showErrorMessage="1" sqref="G167">
      <formula1>TireTypes</formula1>
    </dataValidation>
    <dataValidation type="list" allowBlank="1" showInputMessage="1" showErrorMessage="1" sqref="B168">
      <formula1>Disciplines</formula1>
    </dataValidation>
    <dataValidation type="list" allowBlank="1" showInputMessage="1" showErrorMessage="1" sqref="F168">
      <formula1>Drivetrains</formula1>
    </dataValidation>
    <dataValidation type="list" allowBlank="1" showInputMessage="1" showErrorMessage="1" sqref="G168">
      <formula1>TireTypes</formula1>
    </dataValidation>
    <dataValidation type="list" allowBlank="1" showInputMessage="1" showErrorMessage="1" sqref="B169">
      <formula1>Disciplines</formula1>
    </dataValidation>
    <dataValidation type="list" allowBlank="1" showInputMessage="1" showErrorMessage="1" sqref="F169">
      <formula1>Drivetrains</formula1>
    </dataValidation>
    <dataValidation type="list" allowBlank="1" showInputMessage="1" showErrorMessage="1" sqref="G169">
      <formula1>TireTypes</formula1>
    </dataValidation>
    <dataValidation type="list" allowBlank="1" showInputMessage="1" showErrorMessage="1" sqref="B170">
      <formula1>Disciplines</formula1>
    </dataValidation>
    <dataValidation type="list" allowBlank="1" showInputMessage="1" showErrorMessage="1" sqref="F170">
      <formula1>Drivetrains</formula1>
    </dataValidation>
    <dataValidation type="list" allowBlank="1" showInputMessage="1" showErrorMessage="1" sqref="G170">
      <formula1>TireTypes</formula1>
    </dataValidation>
    <dataValidation type="list" allowBlank="1" showInputMessage="1" showErrorMessage="1" sqref="B171">
      <formula1>Disciplines</formula1>
    </dataValidation>
    <dataValidation type="list" allowBlank="1" showInputMessage="1" showErrorMessage="1" sqref="F171">
      <formula1>Drivetrains</formula1>
    </dataValidation>
    <dataValidation type="list" allowBlank="1" showInputMessage="1" showErrorMessage="1" sqref="G171">
      <formula1>TireTypes</formula1>
    </dataValidation>
    <dataValidation type="list" allowBlank="1" showInputMessage="1" showErrorMessage="1" sqref="B172">
      <formula1>Disciplines</formula1>
    </dataValidation>
    <dataValidation type="list" allowBlank="1" showInputMessage="1" showErrorMessage="1" sqref="F172">
      <formula1>Drivetrains</formula1>
    </dataValidation>
    <dataValidation type="list" allowBlank="1" showInputMessage="1" showErrorMessage="1" sqref="G172">
      <formula1>TireTypes</formula1>
    </dataValidation>
    <dataValidation type="list" allowBlank="1" showInputMessage="1" showErrorMessage="1" sqref="B173">
      <formula1>Disciplines</formula1>
    </dataValidation>
    <dataValidation type="list" allowBlank="1" showInputMessage="1" showErrorMessage="1" sqref="F173">
      <formula1>Drivetrains</formula1>
    </dataValidation>
    <dataValidation type="list" allowBlank="1" showInputMessage="1" showErrorMessage="1" sqref="G173">
      <formula1>TireTypes</formula1>
    </dataValidation>
    <dataValidation type="list" allowBlank="1" showInputMessage="1" showErrorMessage="1" sqref="B174">
      <formula1>Disciplines</formula1>
    </dataValidation>
    <dataValidation type="list" allowBlank="1" showInputMessage="1" showErrorMessage="1" sqref="F174">
      <formula1>Drivetrains</formula1>
    </dataValidation>
    <dataValidation type="list" allowBlank="1" showInputMessage="1" showErrorMessage="1" sqref="G174">
      <formula1>TireTypes</formula1>
    </dataValidation>
    <dataValidation type="list" allowBlank="1" showInputMessage="1" showErrorMessage="1" sqref="B175">
      <formula1>Disciplines</formula1>
    </dataValidation>
    <dataValidation type="list" allowBlank="1" showInputMessage="1" showErrorMessage="1" sqref="F175">
      <formula1>Drivetrains</formula1>
    </dataValidation>
    <dataValidation type="list" allowBlank="1" showInputMessage="1" showErrorMessage="1" sqref="G175">
      <formula1>TireTypes</formula1>
    </dataValidation>
    <dataValidation type="list" allowBlank="1" showInputMessage="1" showErrorMessage="1" sqref="B176">
      <formula1>Disciplines</formula1>
    </dataValidation>
    <dataValidation type="list" allowBlank="1" showInputMessage="1" showErrorMessage="1" sqref="F176">
      <formula1>Drivetrains</formula1>
    </dataValidation>
    <dataValidation type="list" allowBlank="1" showInputMessage="1" showErrorMessage="1" sqref="G176">
      <formula1>TireTypes</formula1>
    </dataValidation>
    <dataValidation type="list" allowBlank="1" showInputMessage="1" showErrorMessage="1" sqref="B177">
      <formula1>Disciplines</formula1>
    </dataValidation>
    <dataValidation type="list" allowBlank="1" showInputMessage="1" showErrorMessage="1" sqref="F177">
      <formula1>Drivetrains</formula1>
    </dataValidation>
    <dataValidation type="list" allowBlank="1" showInputMessage="1" showErrorMessage="1" sqref="G177">
      <formula1>TireTypes</formula1>
    </dataValidation>
    <dataValidation type="list" allowBlank="1" showInputMessage="1" showErrorMessage="1" sqref="B178">
      <formula1>Disciplines</formula1>
    </dataValidation>
    <dataValidation type="list" allowBlank="1" showInputMessage="1" showErrorMessage="1" sqref="F178">
      <formula1>Drivetrains</formula1>
    </dataValidation>
    <dataValidation type="list" allowBlank="1" showInputMessage="1" showErrorMessage="1" sqref="G178">
      <formula1>TireTypes</formula1>
    </dataValidation>
    <dataValidation type="list" allowBlank="1" showInputMessage="1" showErrorMessage="1" sqref="B179">
      <formula1>Disciplines</formula1>
    </dataValidation>
    <dataValidation type="list" allowBlank="1" showInputMessage="1" showErrorMessage="1" sqref="F179">
      <formula1>Drivetrains</formula1>
    </dataValidation>
    <dataValidation type="list" allowBlank="1" showInputMessage="1" showErrorMessage="1" sqref="G179">
      <formula1>TireTypes</formula1>
    </dataValidation>
    <dataValidation type="list" allowBlank="1" showInputMessage="1" showErrorMessage="1" sqref="B180">
      <formula1>Disciplines</formula1>
    </dataValidation>
    <dataValidation type="list" allowBlank="1" showInputMessage="1" showErrorMessage="1" sqref="F180">
      <formula1>Drivetrains</formula1>
    </dataValidation>
    <dataValidation type="list" allowBlank="1" showInputMessage="1" showErrorMessage="1" sqref="G180">
      <formula1>TireTypes</formula1>
    </dataValidation>
    <dataValidation type="list" allowBlank="1" showInputMessage="1" showErrorMessage="1" sqref="B181">
      <formula1>Disciplines</formula1>
    </dataValidation>
    <dataValidation type="list" allowBlank="1" showInputMessage="1" showErrorMessage="1" sqref="F181">
      <formula1>Drivetrains</formula1>
    </dataValidation>
    <dataValidation type="list" allowBlank="1" showInputMessage="1" showErrorMessage="1" sqref="G181">
      <formula1>TireTypes</formula1>
    </dataValidation>
    <dataValidation type="list" allowBlank="1" showInputMessage="1" showErrorMessage="1" sqref="B182">
      <formula1>Disciplines</formula1>
    </dataValidation>
    <dataValidation type="list" allowBlank="1" showInputMessage="1" showErrorMessage="1" sqref="F182">
      <formula1>Drivetrains</formula1>
    </dataValidation>
    <dataValidation type="list" allowBlank="1" showInputMessage="1" showErrorMessage="1" sqref="G182">
      <formula1>TireTypes</formula1>
    </dataValidation>
    <dataValidation type="list" allowBlank="1" showInputMessage="1" showErrorMessage="1" sqref="B183">
      <formula1>Disciplines</formula1>
    </dataValidation>
    <dataValidation type="list" allowBlank="1" showInputMessage="1" showErrorMessage="1" sqref="F183">
      <formula1>Drivetrains</formula1>
    </dataValidation>
    <dataValidation type="list" allowBlank="1" showInputMessage="1" showErrorMessage="1" sqref="G183">
      <formula1>TireTypes</formula1>
    </dataValidation>
    <dataValidation type="list" allowBlank="1" showInputMessage="1" showErrorMessage="1" sqref="B184">
      <formula1>Disciplines</formula1>
    </dataValidation>
    <dataValidation type="list" allowBlank="1" showInputMessage="1" showErrorMessage="1" sqref="F184">
      <formula1>Drivetrains</formula1>
    </dataValidation>
    <dataValidation type="list" allowBlank="1" showInputMessage="1" showErrorMessage="1" sqref="G184">
      <formula1>TireTypes</formula1>
    </dataValidation>
    <dataValidation type="list" allowBlank="1" showInputMessage="1" showErrorMessage="1" sqref="B185">
      <formula1>Disciplines</formula1>
    </dataValidation>
    <dataValidation type="list" allowBlank="1" showInputMessage="1" showErrorMessage="1" sqref="F185">
      <formula1>Drivetrains</formula1>
    </dataValidation>
    <dataValidation type="list" allowBlank="1" showInputMessage="1" showErrorMessage="1" sqref="G185">
      <formula1>TireTypes</formula1>
    </dataValidation>
    <dataValidation type="list" allowBlank="1" showInputMessage="1" showErrorMessage="1" sqref="B186">
      <formula1>Disciplines</formula1>
    </dataValidation>
    <dataValidation type="list" allowBlank="1" showInputMessage="1" showErrorMessage="1" sqref="F186">
      <formula1>Drivetrains</formula1>
    </dataValidation>
    <dataValidation type="list" allowBlank="1" showInputMessage="1" showErrorMessage="1" sqref="G186">
      <formula1>TireTypes</formula1>
    </dataValidation>
    <dataValidation type="list" allowBlank="1" showInputMessage="1" showErrorMessage="1" sqref="B187">
      <formula1>Disciplines</formula1>
    </dataValidation>
    <dataValidation type="list" allowBlank="1" showInputMessage="1" showErrorMessage="1" sqref="F187">
      <formula1>Drivetrains</formula1>
    </dataValidation>
    <dataValidation type="list" allowBlank="1" showInputMessage="1" showErrorMessage="1" sqref="G187">
      <formula1>TireTypes</formula1>
    </dataValidation>
    <dataValidation type="list" allowBlank="1" showInputMessage="1" showErrorMessage="1" sqref="B188">
      <formula1>Disciplines</formula1>
    </dataValidation>
    <dataValidation type="list" allowBlank="1" showInputMessage="1" showErrorMessage="1" sqref="F188">
      <formula1>Drivetrains</formula1>
    </dataValidation>
    <dataValidation type="list" allowBlank="1" showInputMessage="1" showErrorMessage="1" sqref="G188">
      <formula1>TireTypes</formula1>
    </dataValidation>
    <dataValidation type="list" allowBlank="1" showInputMessage="1" showErrorMessage="1" sqref="B189">
      <formula1>Disciplines</formula1>
    </dataValidation>
    <dataValidation type="list" allowBlank="1" showInputMessage="1" showErrorMessage="1" sqref="F189">
      <formula1>Drivetrains</formula1>
    </dataValidation>
    <dataValidation type="list" allowBlank="1" showInputMessage="1" showErrorMessage="1" sqref="G189">
      <formula1>TireTypes</formula1>
    </dataValidation>
    <dataValidation type="list" allowBlank="1" showInputMessage="1" showErrorMessage="1" sqref="B190">
      <formula1>Disciplines</formula1>
    </dataValidation>
    <dataValidation type="list" allowBlank="1" showInputMessage="1" showErrorMessage="1" sqref="F190">
      <formula1>Drivetrains</formula1>
    </dataValidation>
    <dataValidation type="list" allowBlank="1" showInputMessage="1" showErrorMessage="1" sqref="G190">
      <formula1>TireTypes</formula1>
    </dataValidation>
    <dataValidation type="list" allowBlank="1" showInputMessage="1" showErrorMessage="1" sqref="B191">
      <formula1>Disciplines</formula1>
    </dataValidation>
    <dataValidation type="list" allowBlank="1" showInputMessage="1" showErrorMessage="1" sqref="F191">
      <formula1>Drivetrains</formula1>
    </dataValidation>
    <dataValidation type="list" allowBlank="1" showInputMessage="1" showErrorMessage="1" sqref="G191">
      <formula1>TireTypes</formula1>
    </dataValidation>
    <dataValidation type="list" allowBlank="1" showInputMessage="1" showErrorMessage="1" sqref="B192">
      <formula1>Disciplines</formula1>
    </dataValidation>
    <dataValidation type="list" allowBlank="1" showInputMessage="1" showErrorMessage="1" sqref="F192">
      <formula1>Drivetrains</formula1>
    </dataValidation>
    <dataValidation type="list" allowBlank="1" showInputMessage="1" showErrorMessage="1" sqref="G192">
      <formula1>TireTypes</formula1>
    </dataValidation>
    <dataValidation type="list" allowBlank="1" showInputMessage="1" showErrorMessage="1" sqref="B193">
      <formula1>Disciplines</formula1>
    </dataValidation>
    <dataValidation type="list" allowBlank="1" showInputMessage="1" showErrorMessage="1" sqref="F193">
      <formula1>Drivetrains</formula1>
    </dataValidation>
    <dataValidation type="list" allowBlank="1" showInputMessage="1" showErrorMessage="1" sqref="G193">
      <formula1>TireTypes</formula1>
    </dataValidation>
    <dataValidation type="list" allowBlank="1" showInputMessage="1" showErrorMessage="1" sqref="B194">
      <formula1>Disciplines</formula1>
    </dataValidation>
    <dataValidation type="list" allowBlank="1" showInputMessage="1" showErrorMessage="1" sqref="F194">
      <formula1>Drivetrains</formula1>
    </dataValidation>
    <dataValidation type="list" allowBlank="1" showInputMessage="1" showErrorMessage="1" sqref="G194">
      <formula1>TireTypes</formula1>
    </dataValidation>
    <dataValidation type="list" allowBlank="1" showInputMessage="1" showErrorMessage="1" sqref="B195">
      <formula1>Disciplines</formula1>
    </dataValidation>
    <dataValidation type="list" allowBlank="1" showInputMessage="1" showErrorMessage="1" sqref="F195">
      <formula1>Drivetrains</formula1>
    </dataValidation>
    <dataValidation type="list" allowBlank="1" showInputMessage="1" showErrorMessage="1" sqref="G195">
      <formula1>TireTypes</formula1>
    </dataValidation>
    <dataValidation type="list" allowBlank="1" showInputMessage="1" showErrorMessage="1" sqref="B196">
      <formula1>Disciplines</formula1>
    </dataValidation>
    <dataValidation type="list" allowBlank="1" showInputMessage="1" showErrorMessage="1" sqref="F196">
      <formula1>Drivetrains</formula1>
    </dataValidation>
    <dataValidation type="list" allowBlank="1" showInputMessage="1" showErrorMessage="1" sqref="G196">
      <formula1>TireTypes</formula1>
    </dataValidation>
    <dataValidation type="list" allowBlank="1" showInputMessage="1" showErrorMessage="1" sqref="B197">
      <formula1>Disciplines</formula1>
    </dataValidation>
    <dataValidation type="list" allowBlank="1" showInputMessage="1" showErrorMessage="1" sqref="F197">
      <formula1>Drivetrains</formula1>
    </dataValidation>
    <dataValidation type="list" allowBlank="1" showInputMessage="1" showErrorMessage="1" sqref="G197">
      <formula1>TireTypes</formula1>
    </dataValidation>
    <dataValidation type="list" allowBlank="1" showInputMessage="1" showErrorMessage="1" sqref="B198">
      <formula1>Disciplines</formula1>
    </dataValidation>
    <dataValidation type="list" allowBlank="1" showInputMessage="1" showErrorMessage="1" sqref="F198">
      <formula1>Drivetrains</formula1>
    </dataValidation>
    <dataValidation type="list" allowBlank="1" showInputMessage="1" showErrorMessage="1" sqref="G198">
      <formula1>TireTypes</formula1>
    </dataValidation>
    <dataValidation type="list" allowBlank="1" showInputMessage="1" showErrorMessage="1" sqref="B199">
      <formula1>Disciplines</formula1>
    </dataValidation>
    <dataValidation type="list" allowBlank="1" showInputMessage="1" showErrorMessage="1" sqref="F199">
      <formula1>Drivetrains</formula1>
    </dataValidation>
    <dataValidation type="list" allowBlank="1" showInputMessage="1" showErrorMessage="1" sqref="G199">
      <formula1>TireTypes</formula1>
    </dataValidation>
    <dataValidation type="list" allowBlank="1" showInputMessage="1" showErrorMessage="1" sqref="B200">
      <formula1>Disciplines</formula1>
    </dataValidation>
    <dataValidation type="list" allowBlank="1" showInputMessage="1" showErrorMessage="1" sqref="F200">
      <formula1>Drivetrains</formula1>
    </dataValidation>
    <dataValidation type="list" allowBlank="1" showInputMessage="1" showErrorMessage="1" sqref="G200">
      <formula1>TireTypes</formula1>
    </dataValidation>
    <dataValidation type="list" allowBlank="1" showInputMessage="1" showErrorMessage="1" sqref="B201">
      <formula1>Disciplines</formula1>
    </dataValidation>
    <dataValidation type="list" allowBlank="1" showInputMessage="1" showErrorMessage="1" sqref="F201">
      <formula1>Drivetrains</formula1>
    </dataValidation>
    <dataValidation type="list" allowBlank="1" showInputMessage="1" showErrorMessage="1" sqref="G201">
      <formula1>TireTypes</formula1>
    </dataValidation>
    <dataValidation type="list" allowBlank="1" showInputMessage="1" showErrorMessage="1" sqref="B202">
      <formula1>Disciplines</formula1>
    </dataValidation>
    <dataValidation type="list" allowBlank="1" showInputMessage="1" showErrorMessage="1" sqref="F202">
      <formula1>Drivetrains</formula1>
    </dataValidation>
    <dataValidation type="list" allowBlank="1" showInputMessage="1" showErrorMessage="1" sqref="G202">
      <formula1>TireTypes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48</v>
      </c>
      <c r="B1" t="s">
        <v>49</v>
      </c>
      <c r="C1" t="s">
        <v>58</v>
      </c>
    </row>
    <row r="2" spans="1:3">
      <c r="A2" t="s">
        <v>52</v>
      </c>
      <c r="B2" t="s">
        <v>56</v>
      </c>
      <c r="C2" t="s">
        <v>59</v>
      </c>
    </row>
    <row r="3" spans="1:3">
      <c r="A3" t="s">
        <v>53</v>
      </c>
      <c r="B3" t="s">
        <v>57</v>
      </c>
      <c r="C3" t="s">
        <v>60</v>
      </c>
    </row>
    <row r="4" spans="1:3">
      <c r="A4" t="s">
        <v>54</v>
      </c>
      <c r="C4" t="s">
        <v>50</v>
      </c>
    </row>
    <row r="5" spans="1:3">
      <c r="A5" t="s">
        <v>55</v>
      </c>
      <c r="C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20.7109375" customWidth="1"/>
  </cols>
  <sheetData>
    <row r="1" spans="1:1">
      <c r="A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Tune Generator</vt:lpstr>
      <vt:lpstr>Lists</vt:lpstr>
      <vt:lpstr>Notes</vt:lpstr>
      <vt:lpstr>Disciplines</vt:lpstr>
      <vt:lpstr>Drivetrains</vt:lpstr>
      <vt:lpstr>TireTypes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2025-09-24T19:04:58Z</dcterms:created>
  <dcterms:modified xsi:type="dcterms:W3CDTF">2025-09-24T19:04:58Z</dcterms:modified>
</cp:coreProperties>
</file>